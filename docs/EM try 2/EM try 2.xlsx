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RT\EnergyManagement\Energy-Management\EM try 2\"/>
    </mc:Choice>
  </mc:AlternateContent>
  <xr:revisionPtr revIDLastSave="0" documentId="13_ncr:1_{9ECD0B59-0CD0-49DC-8B53-E412B76D8640}" xr6:coauthVersionLast="47" xr6:coauthVersionMax="47" xr10:uidLastSave="{00000000-0000-0000-0000-000000000000}"/>
  <bookViews>
    <workbookView xWindow="-108" yWindow="-108" windowWidth="23256" windowHeight="12456" firstSheet="2" activeTab="2" xr2:uid="{B00E0627-B68F-994A-9452-1AF01254CA9A}"/>
  </bookViews>
  <sheets>
    <sheet name="Inputs Fijos" sheetId="1" r:id="rId1"/>
    <sheet name="Inputs Variables" sheetId="9" r:id="rId2"/>
    <sheet name="Track_Profile" sheetId="2" r:id="rId3"/>
    <sheet name="Energy_Model" sheetId="3" r:id="rId4"/>
    <sheet name="Sheet2" sheetId="8" r:id="rId5"/>
    <sheet name="Solar_Model" sheetId="4" r:id="rId6"/>
    <sheet name="Energy_Balance" sheetId="5" r:id="rId7"/>
    <sheet name="Dashboard" sheetId="6" r:id="rId8"/>
  </sheets>
  <definedNames>
    <definedName name="_Cd">'Inputs Fijos'!$D$4</definedName>
    <definedName name="Cd">'Inputs Fijos'!$D$5</definedName>
    <definedName name="CdA">'Inputs Fijos'!$D$4</definedName>
    <definedName name="Crr">'Inputs Fijos'!$D$7</definedName>
    <definedName name="eficiencia_drivetrain">'Inputs Fijos'!$D$10</definedName>
    <definedName name="g">'Inputs Fijos'!$D$9</definedName>
    <definedName name="m">'Inputs Fijos'!$D$3</definedName>
    <definedName name="rho">'Inputs Fijos'!$D$8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L13" i="2"/>
  <c r="N13" i="2" s="1"/>
  <c r="Q13" i="2" s="1"/>
  <c r="R13" i="2" s="1"/>
  <c r="S13" i="2" s="1"/>
  <c r="O13" i="2"/>
  <c r="P13" i="2"/>
  <c r="K14" i="2"/>
  <c r="L14" i="2"/>
  <c r="M14" i="2" s="1"/>
  <c r="O14" i="2"/>
  <c r="P14" i="2"/>
  <c r="K15" i="2"/>
  <c r="L15" i="2"/>
  <c r="N15" i="2"/>
  <c r="Q15" i="2" s="1"/>
  <c r="R15" i="2" s="1"/>
  <c r="S15" i="2" s="1"/>
  <c r="O15" i="2"/>
  <c r="P15" i="2"/>
  <c r="K16" i="2"/>
  <c r="M16" i="2" s="1"/>
  <c r="L16" i="2"/>
  <c r="N16" i="2" s="1"/>
  <c r="Q16" i="2" s="1"/>
  <c r="R16" i="2" s="1"/>
  <c r="S16" i="2" s="1"/>
  <c r="O16" i="2"/>
  <c r="P16" i="2"/>
  <c r="K17" i="2"/>
  <c r="L17" i="2"/>
  <c r="N17" i="2" s="1"/>
  <c r="Q17" i="2" s="1"/>
  <c r="R17" i="2" s="1"/>
  <c r="S17" i="2" s="1"/>
  <c r="O17" i="2"/>
  <c r="P17" i="2"/>
  <c r="K18" i="2"/>
  <c r="L18" i="2"/>
  <c r="M18" i="2" s="1"/>
  <c r="I11" i="3" s="1"/>
  <c r="O18" i="2"/>
  <c r="P18" i="2"/>
  <c r="K19" i="2"/>
  <c r="M19" i="2" s="1"/>
  <c r="L19" i="2"/>
  <c r="N19" i="2" s="1"/>
  <c r="Q19" i="2" s="1"/>
  <c r="R19" i="2" s="1"/>
  <c r="S19" i="2" s="1"/>
  <c r="O19" i="2"/>
  <c r="P19" i="2"/>
  <c r="K20" i="2"/>
  <c r="M20" i="2" s="1"/>
  <c r="F12" i="4" s="1"/>
  <c r="L20" i="2"/>
  <c r="N20" i="2" s="1"/>
  <c r="Q20" i="2" s="1"/>
  <c r="R20" i="2" s="1"/>
  <c r="S20" i="2" s="1"/>
  <c r="O20" i="2"/>
  <c r="P20" i="2"/>
  <c r="K21" i="2"/>
  <c r="M21" i="2" s="1"/>
  <c r="L21" i="2"/>
  <c r="N21" i="2" s="1"/>
  <c r="Q21" i="2" s="1"/>
  <c r="R21" i="2" s="1"/>
  <c r="S21" i="2" s="1"/>
  <c r="O21" i="2"/>
  <c r="P21" i="2"/>
  <c r="K22" i="2"/>
  <c r="L22" i="2"/>
  <c r="M22" i="2" s="1"/>
  <c r="N22" i="2"/>
  <c r="Q22" i="2" s="1"/>
  <c r="R22" i="2" s="1"/>
  <c r="S22" i="2" s="1"/>
  <c r="T22" i="2" s="1"/>
  <c r="O22" i="2"/>
  <c r="P22" i="2"/>
  <c r="K23" i="2"/>
  <c r="L23" i="2"/>
  <c r="N23" i="2" s="1"/>
  <c r="Q23" i="2" s="1"/>
  <c r="R23" i="2" s="1"/>
  <c r="S23" i="2" s="1"/>
  <c r="O23" i="2"/>
  <c r="P23" i="2"/>
  <c r="K24" i="2"/>
  <c r="L24" i="2"/>
  <c r="N24" i="2" s="1"/>
  <c r="Q24" i="2" s="1"/>
  <c r="R24" i="2" s="1"/>
  <c r="S24" i="2" s="1"/>
  <c r="O24" i="2"/>
  <c r="P24" i="2"/>
  <c r="K25" i="2"/>
  <c r="L25" i="2"/>
  <c r="N25" i="2"/>
  <c r="Q25" i="2" s="1"/>
  <c r="R25" i="2" s="1"/>
  <c r="S25" i="2" s="1"/>
  <c r="O25" i="2"/>
  <c r="P25" i="2"/>
  <c r="K26" i="2"/>
  <c r="L26" i="2"/>
  <c r="M26" i="2" s="1"/>
  <c r="I19" i="3" s="1"/>
  <c r="O26" i="2"/>
  <c r="P26" i="2"/>
  <c r="K27" i="2"/>
  <c r="L27" i="2"/>
  <c r="N27" i="2" s="1"/>
  <c r="Q27" i="2" s="1"/>
  <c r="R27" i="2" s="1"/>
  <c r="S27" i="2" s="1"/>
  <c r="O27" i="2"/>
  <c r="P27" i="2"/>
  <c r="K28" i="2"/>
  <c r="M28" i="2" s="1"/>
  <c r="F20" i="4" s="1"/>
  <c r="L28" i="2"/>
  <c r="N28" i="2" s="1"/>
  <c r="Q28" i="2" s="1"/>
  <c r="R28" i="2" s="1"/>
  <c r="S28" i="2" s="1"/>
  <c r="T28" i="2" s="1"/>
  <c r="O28" i="2"/>
  <c r="P28" i="2"/>
  <c r="K29" i="2"/>
  <c r="L29" i="2"/>
  <c r="N29" i="2" s="1"/>
  <c r="Q29" i="2" s="1"/>
  <c r="R29" i="2" s="1"/>
  <c r="S29" i="2" s="1"/>
  <c r="O29" i="2"/>
  <c r="P29" i="2"/>
  <c r="K30" i="2"/>
  <c r="L30" i="2"/>
  <c r="M30" i="2" s="1"/>
  <c r="N30" i="2"/>
  <c r="Q30" i="2" s="1"/>
  <c r="R30" i="2" s="1"/>
  <c r="S30" i="2" s="1"/>
  <c r="O30" i="2"/>
  <c r="P30" i="2"/>
  <c r="K31" i="2"/>
  <c r="M31" i="2" s="1"/>
  <c r="L31" i="2"/>
  <c r="N31" i="2" s="1"/>
  <c r="Q31" i="2" s="1"/>
  <c r="R31" i="2" s="1"/>
  <c r="S31" i="2" s="1"/>
  <c r="T31" i="2" s="1"/>
  <c r="O31" i="2"/>
  <c r="P31" i="2"/>
  <c r="K32" i="2"/>
  <c r="L32" i="2"/>
  <c r="N32" i="2" s="1"/>
  <c r="Q32" i="2" s="1"/>
  <c r="R32" i="2" s="1"/>
  <c r="S32" i="2" s="1"/>
  <c r="O32" i="2"/>
  <c r="P32" i="2"/>
  <c r="K33" i="2"/>
  <c r="M33" i="2" s="1"/>
  <c r="L33" i="2"/>
  <c r="N33" i="2"/>
  <c r="Q33" i="2" s="1"/>
  <c r="R33" i="2" s="1"/>
  <c r="S33" i="2" s="1"/>
  <c r="T33" i="2" s="1"/>
  <c r="O33" i="2"/>
  <c r="P33" i="2"/>
  <c r="K34" i="2"/>
  <c r="L34" i="2"/>
  <c r="M34" i="2" s="1"/>
  <c r="O34" i="2"/>
  <c r="P34" i="2"/>
  <c r="K35" i="2"/>
  <c r="L35" i="2"/>
  <c r="N35" i="2" s="1"/>
  <c r="Q35" i="2" s="1"/>
  <c r="R35" i="2" s="1"/>
  <c r="S35" i="2" s="1"/>
  <c r="O35" i="2"/>
  <c r="P35" i="2"/>
  <c r="K36" i="2"/>
  <c r="M36" i="2" s="1"/>
  <c r="L36" i="2"/>
  <c r="N36" i="2" s="1"/>
  <c r="Q36" i="2" s="1"/>
  <c r="R36" i="2" s="1"/>
  <c r="S36" i="2" s="1"/>
  <c r="T36" i="2" s="1"/>
  <c r="O36" i="2"/>
  <c r="P36" i="2"/>
  <c r="K37" i="2"/>
  <c r="L37" i="2"/>
  <c r="N37" i="2" s="1"/>
  <c r="Q37" i="2" s="1"/>
  <c r="R37" i="2" s="1"/>
  <c r="S37" i="2" s="1"/>
  <c r="O37" i="2"/>
  <c r="P37" i="2"/>
  <c r="K38" i="2"/>
  <c r="L38" i="2"/>
  <c r="M38" i="2" s="1"/>
  <c r="N38" i="2"/>
  <c r="Q38" i="2" s="1"/>
  <c r="R38" i="2" s="1"/>
  <c r="S38" i="2" s="1"/>
  <c r="O38" i="2"/>
  <c r="P38" i="2"/>
  <c r="K39" i="2"/>
  <c r="L39" i="2"/>
  <c r="N39" i="2" s="1"/>
  <c r="Q39" i="2" s="1"/>
  <c r="R39" i="2" s="1"/>
  <c r="S39" i="2" s="1"/>
  <c r="O39" i="2"/>
  <c r="P39" i="2"/>
  <c r="K40" i="2"/>
  <c r="L40" i="2"/>
  <c r="N40" i="2" s="1"/>
  <c r="Q40" i="2" s="1"/>
  <c r="R40" i="2" s="1"/>
  <c r="S40" i="2" s="1"/>
  <c r="O40" i="2"/>
  <c r="P40" i="2"/>
  <c r="K41" i="2"/>
  <c r="M41" i="2" s="1"/>
  <c r="L41" i="2"/>
  <c r="N41" i="2" s="1"/>
  <c r="Q41" i="2" s="1"/>
  <c r="R41" i="2" s="1"/>
  <c r="S41" i="2" s="1"/>
  <c r="O41" i="2"/>
  <c r="P41" i="2"/>
  <c r="K42" i="2"/>
  <c r="L42" i="2"/>
  <c r="M42" i="2" s="1"/>
  <c r="O42" i="2"/>
  <c r="P42" i="2"/>
  <c r="K43" i="2"/>
  <c r="M43" i="2" s="1"/>
  <c r="L43" i="2"/>
  <c r="N43" i="2" s="1"/>
  <c r="Q43" i="2" s="1"/>
  <c r="R43" i="2" s="1"/>
  <c r="S43" i="2" s="1"/>
  <c r="O43" i="2"/>
  <c r="P43" i="2"/>
  <c r="K44" i="2"/>
  <c r="M44" i="2" s="1"/>
  <c r="L44" i="2"/>
  <c r="N44" i="2" s="1"/>
  <c r="Q44" i="2" s="1"/>
  <c r="O44" i="2"/>
  <c r="P44" i="2"/>
  <c r="R44" i="2"/>
  <c r="S44" i="2" s="1"/>
  <c r="K45" i="2"/>
  <c r="L45" i="2"/>
  <c r="N45" i="2"/>
  <c r="O45" i="2"/>
  <c r="P45" i="2"/>
  <c r="K46" i="2"/>
  <c r="L46" i="2"/>
  <c r="M46" i="2"/>
  <c r="N46" i="2"/>
  <c r="Q46" i="2" s="1"/>
  <c r="R46" i="2" s="1"/>
  <c r="S46" i="2" s="1"/>
  <c r="O46" i="2"/>
  <c r="P46" i="2"/>
  <c r="K47" i="2"/>
  <c r="M47" i="2" s="1"/>
  <c r="L47" i="2"/>
  <c r="N47" i="2" s="1"/>
  <c r="Q47" i="2" s="1"/>
  <c r="R47" i="2" s="1"/>
  <c r="S47" i="2" s="1"/>
  <c r="O47" i="2"/>
  <c r="P47" i="2"/>
  <c r="K48" i="2"/>
  <c r="M48" i="2" s="1"/>
  <c r="L48" i="2"/>
  <c r="N48" i="2" s="1"/>
  <c r="Q48" i="2" s="1"/>
  <c r="O48" i="2"/>
  <c r="P48" i="2"/>
  <c r="R48" i="2"/>
  <c r="S48" i="2" s="1"/>
  <c r="T48" i="2" s="1"/>
  <c r="K49" i="2"/>
  <c r="M49" i="2" s="1"/>
  <c r="L49" i="2"/>
  <c r="N49" i="2" s="1"/>
  <c r="Q49" i="2" s="1"/>
  <c r="R49" i="2" s="1"/>
  <c r="S49" i="2" s="1"/>
  <c r="T49" i="2" s="1"/>
  <c r="O49" i="2"/>
  <c r="P49" i="2"/>
  <c r="K50" i="2"/>
  <c r="L50" i="2"/>
  <c r="M50" i="2" s="1"/>
  <c r="O50" i="2"/>
  <c r="P50" i="2"/>
  <c r="K51" i="2"/>
  <c r="M51" i="2" s="1"/>
  <c r="L51" i="2"/>
  <c r="N51" i="2" s="1"/>
  <c r="Q51" i="2" s="1"/>
  <c r="R51" i="2" s="1"/>
  <c r="S51" i="2" s="1"/>
  <c r="O51" i="2"/>
  <c r="P51" i="2"/>
  <c r="T51" i="2"/>
  <c r="K52" i="2"/>
  <c r="M52" i="2" s="1"/>
  <c r="L52" i="2"/>
  <c r="N52" i="2" s="1"/>
  <c r="Q52" i="2" s="1"/>
  <c r="R52" i="2" s="1"/>
  <c r="S52" i="2" s="1"/>
  <c r="O52" i="2"/>
  <c r="P52" i="2"/>
  <c r="K53" i="2"/>
  <c r="L53" i="2"/>
  <c r="N53" i="2"/>
  <c r="O53" i="2"/>
  <c r="P53" i="2"/>
  <c r="K54" i="2"/>
  <c r="L54" i="2"/>
  <c r="M54" i="2"/>
  <c r="N54" i="2"/>
  <c r="Q54" i="2" s="1"/>
  <c r="R54" i="2" s="1"/>
  <c r="S54" i="2" s="1"/>
  <c r="O54" i="2"/>
  <c r="P54" i="2"/>
  <c r="K55" i="2"/>
  <c r="L55" i="2"/>
  <c r="N55" i="2" s="1"/>
  <c r="Q55" i="2" s="1"/>
  <c r="R55" i="2" s="1"/>
  <c r="S55" i="2" s="1"/>
  <c r="O55" i="2"/>
  <c r="P55" i="2"/>
  <c r="K56" i="2"/>
  <c r="M56" i="2" s="1"/>
  <c r="L56" i="2"/>
  <c r="N56" i="2" s="1"/>
  <c r="Q56" i="2" s="1"/>
  <c r="R56" i="2" s="1"/>
  <c r="S56" i="2" s="1"/>
  <c r="O56" i="2"/>
  <c r="P56" i="2"/>
  <c r="K57" i="2"/>
  <c r="M57" i="2" s="1"/>
  <c r="L57" i="2"/>
  <c r="N57" i="2" s="1"/>
  <c r="O57" i="2"/>
  <c r="P57" i="2"/>
  <c r="K58" i="2"/>
  <c r="L58" i="2"/>
  <c r="M58" i="2"/>
  <c r="N58" i="2"/>
  <c r="Q58" i="2" s="1"/>
  <c r="R58" i="2" s="1"/>
  <c r="S58" i="2" s="1"/>
  <c r="O58" i="2"/>
  <c r="P58" i="2"/>
  <c r="K59" i="2"/>
  <c r="L59" i="2"/>
  <c r="N59" i="2" s="1"/>
  <c r="Q59" i="2" s="1"/>
  <c r="R59" i="2" s="1"/>
  <c r="S59" i="2" s="1"/>
  <c r="O59" i="2"/>
  <c r="P59" i="2"/>
  <c r="K60" i="2"/>
  <c r="L60" i="2"/>
  <c r="N60" i="2" s="1"/>
  <c r="Q60" i="2" s="1"/>
  <c r="R60" i="2" s="1"/>
  <c r="S60" i="2" s="1"/>
  <c r="O60" i="2"/>
  <c r="P60" i="2"/>
  <c r="K61" i="2"/>
  <c r="L61" i="2"/>
  <c r="N61" i="2" s="1"/>
  <c r="O61" i="2"/>
  <c r="P61" i="2"/>
  <c r="K62" i="2"/>
  <c r="L62" i="2"/>
  <c r="N62" i="2" s="1"/>
  <c r="O62" i="2"/>
  <c r="P62" i="2"/>
  <c r="K63" i="2"/>
  <c r="L63" i="2"/>
  <c r="N63" i="2" s="1"/>
  <c r="Q63" i="2" s="1"/>
  <c r="R63" i="2" s="1"/>
  <c r="S63" i="2" s="1"/>
  <c r="O63" i="2"/>
  <c r="P63" i="2"/>
  <c r="K64" i="2"/>
  <c r="L64" i="2"/>
  <c r="N64" i="2" s="1"/>
  <c r="Q64" i="2" s="1"/>
  <c r="R64" i="2" s="1"/>
  <c r="S64" i="2" s="1"/>
  <c r="O64" i="2"/>
  <c r="P64" i="2"/>
  <c r="K65" i="2"/>
  <c r="M65" i="2" s="1"/>
  <c r="L65" i="2"/>
  <c r="N65" i="2"/>
  <c r="O65" i="2"/>
  <c r="P65" i="2"/>
  <c r="K66" i="2"/>
  <c r="L66" i="2"/>
  <c r="M66" i="2" s="1"/>
  <c r="O66" i="2"/>
  <c r="P66" i="2"/>
  <c r="K67" i="2"/>
  <c r="L67" i="2"/>
  <c r="N67" i="2" s="1"/>
  <c r="Q67" i="2" s="1"/>
  <c r="R67" i="2" s="1"/>
  <c r="S67" i="2" s="1"/>
  <c r="O67" i="2"/>
  <c r="P67" i="2"/>
  <c r="K68" i="2"/>
  <c r="L68" i="2"/>
  <c r="N68" i="2" s="1"/>
  <c r="Q68" i="2" s="1"/>
  <c r="R68" i="2" s="1"/>
  <c r="S68" i="2" s="1"/>
  <c r="O68" i="2"/>
  <c r="P68" i="2"/>
  <c r="K69" i="2"/>
  <c r="L69" i="2"/>
  <c r="N69" i="2"/>
  <c r="Q69" i="2" s="1"/>
  <c r="R69" i="2" s="1"/>
  <c r="S69" i="2" s="1"/>
  <c r="O69" i="2"/>
  <c r="P69" i="2"/>
  <c r="K70" i="2"/>
  <c r="L70" i="2"/>
  <c r="M70" i="2"/>
  <c r="N70" i="2"/>
  <c r="O70" i="2"/>
  <c r="P70" i="2"/>
  <c r="K71" i="2"/>
  <c r="L71" i="2"/>
  <c r="N71" i="2" s="1"/>
  <c r="Q71" i="2" s="1"/>
  <c r="R71" i="2" s="1"/>
  <c r="S71" i="2" s="1"/>
  <c r="O71" i="2"/>
  <c r="P71" i="2"/>
  <c r="K72" i="2"/>
  <c r="L72" i="2"/>
  <c r="N72" i="2" s="1"/>
  <c r="Q72" i="2" s="1"/>
  <c r="R72" i="2" s="1"/>
  <c r="S72" i="2" s="1"/>
  <c r="O72" i="2"/>
  <c r="P72" i="2"/>
  <c r="K73" i="2"/>
  <c r="M73" i="2" s="1"/>
  <c r="L73" i="2"/>
  <c r="N73" i="2" s="1"/>
  <c r="O73" i="2"/>
  <c r="P73" i="2"/>
  <c r="K74" i="2"/>
  <c r="L74" i="2"/>
  <c r="M74" i="2" s="1"/>
  <c r="O74" i="2"/>
  <c r="P74" i="2"/>
  <c r="K75" i="2"/>
  <c r="M75" i="2" s="1"/>
  <c r="L75" i="2"/>
  <c r="N75" i="2" s="1"/>
  <c r="Q75" i="2" s="1"/>
  <c r="R75" i="2" s="1"/>
  <c r="S75" i="2" s="1"/>
  <c r="O75" i="2"/>
  <c r="P75" i="2"/>
  <c r="K76" i="2"/>
  <c r="L76" i="2"/>
  <c r="N76" i="2" s="1"/>
  <c r="Q76" i="2" s="1"/>
  <c r="R76" i="2" s="1"/>
  <c r="S76" i="2" s="1"/>
  <c r="O76" i="2"/>
  <c r="P76" i="2"/>
  <c r="K77" i="2"/>
  <c r="M77" i="2" s="1"/>
  <c r="L77" i="2"/>
  <c r="N77" i="2"/>
  <c r="Q77" i="2" s="1"/>
  <c r="R77" i="2" s="1"/>
  <c r="S77" i="2" s="1"/>
  <c r="T77" i="2" s="1"/>
  <c r="O77" i="2"/>
  <c r="P77" i="2"/>
  <c r="K78" i="2"/>
  <c r="L78" i="2"/>
  <c r="M78" i="2" s="1"/>
  <c r="N78" i="2"/>
  <c r="Q78" i="2" s="1"/>
  <c r="R78" i="2" s="1"/>
  <c r="S78" i="2" s="1"/>
  <c r="O78" i="2"/>
  <c r="P78" i="2"/>
  <c r="K79" i="2"/>
  <c r="L79" i="2"/>
  <c r="N79" i="2" s="1"/>
  <c r="Q79" i="2" s="1"/>
  <c r="R79" i="2" s="1"/>
  <c r="S79" i="2" s="1"/>
  <c r="O79" i="2"/>
  <c r="P79" i="2"/>
  <c r="K80" i="2"/>
  <c r="L80" i="2"/>
  <c r="N80" i="2" s="1"/>
  <c r="Q80" i="2" s="1"/>
  <c r="R80" i="2" s="1"/>
  <c r="S80" i="2" s="1"/>
  <c r="O80" i="2"/>
  <c r="P80" i="2"/>
  <c r="K81" i="2"/>
  <c r="M81" i="2" s="1"/>
  <c r="L81" i="2"/>
  <c r="N81" i="2"/>
  <c r="O81" i="2"/>
  <c r="P81" i="2"/>
  <c r="K82" i="2"/>
  <c r="L82" i="2"/>
  <c r="M82" i="2" s="1"/>
  <c r="O82" i="2"/>
  <c r="P82" i="2"/>
  <c r="K83" i="2"/>
  <c r="L83" i="2"/>
  <c r="N83" i="2" s="1"/>
  <c r="Q83" i="2" s="1"/>
  <c r="R83" i="2" s="1"/>
  <c r="S83" i="2" s="1"/>
  <c r="O83" i="2"/>
  <c r="P83" i="2"/>
  <c r="K84" i="2"/>
  <c r="L84" i="2"/>
  <c r="N84" i="2" s="1"/>
  <c r="Q84" i="2" s="1"/>
  <c r="R84" i="2" s="1"/>
  <c r="S84" i="2" s="1"/>
  <c r="O84" i="2"/>
  <c r="P84" i="2"/>
  <c r="K85" i="2"/>
  <c r="L85" i="2"/>
  <c r="N85" i="2" s="1"/>
  <c r="O85" i="2"/>
  <c r="P85" i="2"/>
  <c r="K86" i="2"/>
  <c r="L86" i="2"/>
  <c r="M86" i="2" s="1"/>
  <c r="N86" i="2"/>
  <c r="O86" i="2"/>
  <c r="P86" i="2"/>
  <c r="K87" i="2"/>
  <c r="L87" i="2"/>
  <c r="N87" i="2" s="1"/>
  <c r="Q87" i="2" s="1"/>
  <c r="R87" i="2" s="1"/>
  <c r="S87" i="2" s="1"/>
  <c r="O87" i="2"/>
  <c r="P87" i="2"/>
  <c r="K88" i="2"/>
  <c r="L88" i="2"/>
  <c r="N88" i="2" s="1"/>
  <c r="Q88" i="2" s="1"/>
  <c r="R88" i="2" s="1"/>
  <c r="S88" i="2" s="1"/>
  <c r="O88" i="2"/>
  <c r="P88" i="2"/>
  <c r="K89" i="2"/>
  <c r="M89" i="2" s="1"/>
  <c r="L89" i="2"/>
  <c r="N89" i="2" s="1"/>
  <c r="O89" i="2"/>
  <c r="P89" i="2"/>
  <c r="K90" i="2"/>
  <c r="L90" i="2"/>
  <c r="M90" i="2" s="1"/>
  <c r="O90" i="2"/>
  <c r="P90" i="2"/>
  <c r="K91" i="2"/>
  <c r="M91" i="2" s="1"/>
  <c r="L91" i="2"/>
  <c r="N91" i="2" s="1"/>
  <c r="Q91" i="2" s="1"/>
  <c r="R91" i="2" s="1"/>
  <c r="S91" i="2" s="1"/>
  <c r="O91" i="2"/>
  <c r="P91" i="2"/>
  <c r="K92" i="2"/>
  <c r="M92" i="2" s="1"/>
  <c r="L92" i="2"/>
  <c r="N92" i="2" s="1"/>
  <c r="Q92" i="2" s="1"/>
  <c r="R92" i="2" s="1"/>
  <c r="S92" i="2" s="1"/>
  <c r="O92" i="2"/>
  <c r="P92" i="2"/>
  <c r="AX4" i="6"/>
  <c r="BL5" i="6"/>
  <c r="AV5" i="6" s="1"/>
  <c r="BL6" i="6"/>
  <c r="AV6" i="6" s="1"/>
  <c r="BL7" i="6"/>
  <c r="AV7" i="6" s="1"/>
  <c r="BL8" i="6"/>
  <c r="AV8" i="6" s="1"/>
  <c r="BL9" i="6"/>
  <c r="AV9" i="6" s="1"/>
  <c r="BL10" i="6"/>
  <c r="AV10" i="6" s="1"/>
  <c r="BL11" i="6"/>
  <c r="AV11" i="6" s="1"/>
  <c r="BL12" i="6"/>
  <c r="AV12" i="6" s="1"/>
  <c r="BL13" i="6"/>
  <c r="AV13" i="6" s="1"/>
  <c r="BL14" i="6"/>
  <c r="AV14" i="6" s="1"/>
  <c r="BL15" i="6"/>
  <c r="AV15" i="6" s="1"/>
  <c r="BL16" i="6"/>
  <c r="AV16" i="6" s="1"/>
  <c r="BL17" i="6"/>
  <c r="AV17" i="6" s="1"/>
  <c r="BL18" i="6"/>
  <c r="AV18" i="6" s="1"/>
  <c r="BL19" i="6"/>
  <c r="AV19" i="6" s="1"/>
  <c r="BL20" i="6"/>
  <c r="AV20" i="6" s="1"/>
  <c r="BL21" i="6"/>
  <c r="AV21" i="6" s="1"/>
  <c r="BL22" i="6"/>
  <c r="AV22" i="6" s="1"/>
  <c r="BL23" i="6"/>
  <c r="AV23" i="6" s="1"/>
  <c r="BL24" i="6"/>
  <c r="AV24" i="6" s="1"/>
  <c r="BL25" i="6"/>
  <c r="AV25" i="6" s="1"/>
  <c r="BL26" i="6"/>
  <c r="AV26" i="6" s="1"/>
  <c r="BL27" i="6"/>
  <c r="AV27" i="6" s="1"/>
  <c r="BL28" i="6"/>
  <c r="AV28" i="6" s="1"/>
  <c r="BL29" i="6"/>
  <c r="AV29" i="6" s="1"/>
  <c r="BL30" i="6"/>
  <c r="AV30" i="6" s="1"/>
  <c r="BL31" i="6"/>
  <c r="AV31" i="6" s="1"/>
  <c r="BL32" i="6"/>
  <c r="AV32" i="6" s="1"/>
  <c r="BL33" i="6"/>
  <c r="AV33" i="6" s="1"/>
  <c r="BL34" i="6"/>
  <c r="AV34" i="6" s="1"/>
  <c r="BL35" i="6"/>
  <c r="AV35" i="6" s="1"/>
  <c r="BL36" i="6"/>
  <c r="AV36" i="6" s="1"/>
  <c r="BL37" i="6"/>
  <c r="AV37" i="6" s="1"/>
  <c r="BL38" i="6"/>
  <c r="AV38" i="6" s="1"/>
  <c r="BL39" i="6"/>
  <c r="AV39" i="6" s="1"/>
  <c r="BL40" i="6"/>
  <c r="AV40" i="6" s="1"/>
  <c r="BL41" i="6"/>
  <c r="AV41" i="6" s="1"/>
  <c r="BL42" i="6"/>
  <c r="AV42" i="6" s="1"/>
  <c r="BL43" i="6"/>
  <c r="AV43" i="6" s="1"/>
  <c r="BL44" i="6"/>
  <c r="AV44" i="6" s="1"/>
  <c r="BL45" i="6"/>
  <c r="AV45" i="6" s="1"/>
  <c r="BL46" i="6"/>
  <c r="AV46" i="6" s="1"/>
  <c r="BL47" i="6"/>
  <c r="AV47" i="6" s="1"/>
  <c r="BL48" i="6"/>
  <c r="AV48" i="6" s="1"/>
  <c r="BL49" i="6"/>
  <c r="AV49" i="6" s="1"/>
  <c r="BL50" i="6"/>
  <c r="AV50" i="6" s="1"/>
  <c r="BL51" i="6"/>
  <c r="AV51" i="6" s="1"/>
  <c r="BL52" i="6"/>
  <c r="AV52" i="6" s="1"/>
  <c r="BL53" i="6"/>
  <c r="AV53" i="6" s="1"/>
  <c r="BL54" i="6"/>
  <c r="AV54" i="6" s="1"/>
  <c r="BL55" i="6"/>
  <c r="AV55" i="6" s="1"/>
  <c r="BL56" i="6"/>
  <c r="AV56" i="6" s="1"/>
  <c r="BL57" i="6"/>
  <c r="AV57" i="6" s="1"/>
  <c r="BL58" i="6"/>
  <c r="AV58" i="6" s="1"/>
  <c r="BL59" i="6"/>
  <c r="AV59" i="6" s="1"/>
  <c r="BL60" i="6"/>
  <c r="AV60" i="6" s="1"/>
  <c r="BL61" i="6"/>
  <c r="AV61" i="6" s="1"/>
  <c r="BL62" i="6"/>
  <c r="AV62" i="6" s="1"/>
  <c r="BL63" i="6"/>
  <c r="AV63" i="6" s="1"/>
  <c r="BL64" i="6"/>
  <c r="AV64" i="6" s="1"/>
  <c r="BL65" i="6"/>
  <c r="AV65" i="6" s="1"/>
  <c r="BL66" i="6"/>
  <c r="AV66" i="6" s="1"/>
  <c r="BL67" i="6"/>
  <c r="AV67" i="6" s="1"/>
  <c r="BL68" i="6"/>
  <c r="AV68" i="6" s="1"/>
  <c r="BL69" i="6"/>
  <c r="AV69" i="6" s="1"/>
  <c r="BL70" i="6"/>
  <c r="AV70" i="6" s="1"/>
  <c r="BL71" i="6"/>
  <c r="AV71" i="6" s="1"/>
  <c r="BL72" i="6"/>
  <c r="AV72" i="6" s="1"/>
  <c r="BL73" i="6"/>
  <c r="AV73" i="6" s="1"/>
  <c r="BL74" i="6"/>
  <c r="AV74" i="6" s="1"/>
  <c r="BL75" i="6"/>
  <c r="AV75" i="6" s="1"/>
  <c r="BL76" i="6"/>
  <c r="AV76" i="6" s="1"/>
  <c r="BL77" i="6"/>
  <c r="AV77" i="6" s="1"/>
  <c r="BL78" i="6"/>
  <c r="AV78" i="6" s="1"/>
  <c r="BL79" i="6"/>
  <c r="AV79" i="6" s="1"/>
  <c r="BL80" i="6"/>
  <c r="AV80" i="6" s="1"/>
  <c r="BL81" i="6"/>
  <c r="AV81" i="6" s="1"/>
  <c r="BL82" i="6"/>
  <c r="AV82" i="6" s="1"/>
  <c r="BL83" i="6"/>
  <c r="AV83" i="6" s="1"/>
  <c r="BL84" i="6"/>
  <c r="AV84" i="6" s="1"/>
  <c r="BL4" i="6"/>
  <c r="AV4" i="6" s="1"/>
  <c r="BJ4" i="6"/>
  <c r="BH4" i="6"/>
  <c r="BK4" i="6" s="1"/>
  <c r="BG4" i="6"/>
  <c r="BE4" i="6"/>
  <c r="BB14" i="6"/>
  <c r="BB4" i="6"/>
  <c r="BA4" i="6"/>
  <c r="C74" i="5"/>
  <c r="C75" i="5"/>
  <c r="C76" i="5"/>
  <c r="C77" i="5"/>
  <c r="C78" i="5"/>
  <c r="C79" i="5"/>
  <c r="C80" i="5"/>
  <c r="C81" i="5"/>
  <c r="C82" i="5"/>
  <c r="C83" i="5"/>
  <c r="C84" i="5"/>
  <c r="C85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6" i="5"/>
  <c r="D6" i="4"/>
  <c r="E6" i="4" s="1"/>
  <c r="BE6" i="6" s="1"/>
  <c r="D7" i="4"/>
  <c r="E7" i="4" s="1"/>
  <c r="BE7" i="6" s="1"/>
  <c r="D8" i="4"/>
  <c r="E8" i="4" s="1"/>
  <c r="BE8" i="6" s="1"/>
  <c r="D9" i="4"/>
  <c r="E9" i="4" s="1"/>
  <c r="BE9" i="6" s="1"/>
  <c r="D10" i="4"/>
  <c r="E10" i="4" s="1"/>
  <c r="BE10" i="6" s="1"/>
  <c r="D11" i="4"/>
  <c r="E11" i="4" s="1"/>
  <c r="BE11" i="6" s="1"/>
  <c r="D12" i="4"/>
  <c r="E12" i="4" s="1"/>
  <c r="D13" i="4"/>
  <c r="E13" i="4" s="1"/>
  <c r="BE13" i="6" s="1"/>
  <c r="D14" i="4"/>
  <c r="E14" i="4" s="1"/>
  <c r="BE14" i="6" s="1"/>
  <c r="D15" i="4"/>
  <c r="E15" i="4" s="1"/>
  <c r="BE15" i="6" s="1"/>
  <c r="D16" i="4"/>
  <c r="E16" i="4" s="1"/>
  <c r="BE16" i="6" s="1"/>
  <c r="D17" i="4"/>
  <c r="E17" i="4" s="1"/>
  <c r="D18" i="4"/>
  <c r="E18" i="4" s="1"/>
  <c r="D19" i="4"/>
  <c r="E19" i="4" s="1"/>
  <c r="D20" i="4"/>
  <c r="E20" i="4" s="1"/>
  <c r="D21" i="4"/>
  <c r="E21" i="4" s="1"/>
  <c r="D22" i="4"/>
  <c r="E22" i="4" s="1"/>
  <c r="D23" i="4"/>
  <c r="E23" i="4" s="1"/>
  <c r="D24" i="4"/>
  <c r="E24" i="4" s="1"/>
  <c r="D25" i="4"/>
  <c r="E25" i="4" s="1"/>
  <c r="D26" i="4"/>
  <c r="E26" i="4" s="1"/>
  <c r="D27" i="4"/>
  <c r="E27" i="4" s="1"/>
  <c r="D28" i="4"/>
  <c r="E28" i="4" s="1"/>
  <c r="D29" i="4"/>
  <c r="E29" i="4" s="1"/>
  <c r="D30" i="4"/>
  <c r="E30" i="4" s="1"/>
  <c r="D31" i="4"/>
  <c r="E31" i="4" s="1"/>
  <c r="D32" i="4"/>
  <c r="E32" i="4" s="1"/>
  <c r="D33" i="4"/>
  <c r="E33" i="4" s="1"/>
  <c r="D34" i="4"/>
  <c r="E34" i="4" s="1"/>
  <c r="D35" i="4"/>
  <c r="E35" i="4" s="1"/>
  <c r="D36" i="4"/>
  <c r="E36" i="4" s="1"/>
  <c r="D37" i="4"/>
  <c r="E37" i="4" s="1"/>
  <c r="D38" i="4"/>
  <c r="E38" i="4" s="1"/>
  <c r="D39" i="4"/>
  <c r="E39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4" i="4"/>
  <c r="E54" i="4" s="1"/>
  <c r="BE54" i="6" s="1"/>
  <c r="D55" i="4"/>
  <c r="E55" i="4" s="1"/>
  <c r="D56" i="4"/>
  <c r="E56" i="4" s="1"/>
  <c r="D57" i="4"/>
  <c r="E57" i="4" s="1"/>
  <c r="D58" i="4"/>
  <c r="E58" i="4" s="1"/>
  <c r="D59" i="4"/>
  <c r="E59" i="4" s="1"/>
  <c r="D60" i="4"/>
  <c r="E60" i="4" s="1"/>
  <c r="BE60" i="6" s="1"/>
  <c r="D61" i="4"/>
  <c r="E61" i="4" s="1"/>
  <c r="BE61" i="6" s="1"/>
  <c r="D62" i="4"/>
  <c r="E62" i="4" s="1"/>
  <c r="BE62" i="6" s="1"/>
  <c r="D63" i="4"/>
  <c r="E63" i="4" s="1"/>
  <c r="BE63" i="6" s="1"/>
  <c r="D64" i="4"/>
  <c r="E64" i="4" s="1"/>
  <c r="BE64" i="6" s="1"/>
  <c r="D65" i="4"/>
  <c r="E65" i="4" s="1"/>
  <c r="BE65" i="6" s="1"/>
  <c r="D66" i="4"/>
  <c r="E66" i="4" s="1"/>
  <c r="BE66" i="6" s="1"/>
  <c r="D67" i="4"/>
  <c r="E67" i="4" s="1"/>
  <c r="BE67" i="6" s="1"/>
  <c r="D68" i="4"/>
  <c r="E68" i="4" s="1"/>
  <c r="BE68" i="6" s="1"/>
  <c r="D69" i="4"/>
  <c r="E69" i="4" s="1"/>
  <c r="BE69" i="6" s="1"/>
  <c r="D70" i="4"/>
  <c r="E70" i="4" s="1"/>
  <c r="BE70" i="6" s="1"/>
  <c r="D71" i="4"/>
  <c r="E71" i="4" s="1"/>
  <c r="BE71" i="6" s="1"/>
  <c r="D72" i="4"/>
  <c r="E72" i="4" s="1"/>
  <c r="BE72" i="6" s="1"/>
  <c r="D73" i="4"/>
  <c r="E73" i="4" s="1"/>
  <c r="BE73" i="6" s="1"/>
  <c r="D74" i="4"/>
  <c r="E74" i="4" s="1"/>
  <c r="BE74" i="6" s="1"/>
  <c r="D75" i="4"/>
  <c r="E75" i="4" s="1"/>
  <c r="BE75" i="6" s="1"/>
  <c r="D76" i="4"/>
  <c r="E76" i="4" s="1"/>
  <c r="BE76" i="6" s="1"/>
  <c r="D77" i="4"/>
  <c r="E77" i="4" s="1"/>
  <c r="BE77" i="6" s="1"/>
  <c r="D78" i="4"/>
  <c r="E78" i="4" s="1"/>
  <c r="BE78" i="6" s="1"/>
  <c r="D79" i="4"/>
  <c r="E79" i="4" s="1"/>
  <c r="BE79" i="6" s="1"/>
  <c r="D80" i="4"/>
  <c r="E80" i="4" s="1"/>
  <c r="BE80" i="6" s="1"/>
  <c r="D81" i="4"/>
  <c r="E81" i="4" s="1"/>
  <c r="BE81" i="6" s="1"/>
  <c r="D82" i="4"/>
  <c r="E82" i="4" s="1"/>
  <c r="BE82" i="6" s="1"/>
  <c r="D83" i="4"/>
  <c r="E83" i="4" s="1"/>
  <c r="BE83" i="6" s="1"/>
  <c r="D84" i="4"/>
  <c r="E84" i="4" s="1"/>
  <c r="BE84" i="6" s="1"/>
  <c r="D5" i="4"/>
  <c r="E5" i="4" s="1"/>
  <c r="BE5" i="6" s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5" i="4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4" i="1"/>
  <c r="C7" i="3" s="1"/>
  <c r="F13" i="4"/>
  <c r="F14" i="4"/>
  <c r="E29" i="2"/>
  <c r="F13" i="2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BH20" i="6" s="1"/>
  <c r="BK20" i="6" s="1"/>
  <c r="T80" i="2" l="1"/>
  <c r="N82" i="2"/>
  <c r="Q82" i="2" s="1"/>
  <c r="R82" i="2" s="1"/>
  <c r="S82" i="2" s="1"/>
  <c r="T82" i="2" s="1"/>
  <c r="N66" i="2"/>
  <c r="Q66" i="2" s="1"/>
  <c r="R66" i="2" s="1"/>
  <c r="S66" i="2" s="1"/>
  <c r="T66" i="2" s="1"/>
  <c r="M62" i="2"/>
  <c r="T52" i="2"/>
  <c r="N34" i="2"/>
  <c r="Q34" i="2" s="1"/>
  <c r="R34" i="2" s="1"/>
  <c r="S34" i="2" s="1"/>
  <c r="T34" i="2" s="1"/>
  <c r="N26" i="2"/>
  <c r="Q26" i="2" s="1"/>
  <c r="R26" i="2" s="1"/>
  <c r="S26" i="2" s="1"/>
  <c r="T26" i="2" s="1"/>
  <c r="M25" i="2"/>
  <c r="F17" i="4" s="1"/>
  <c r="G17" i="4" s="1"/>
  <c r="E18" i="5" s="1"/>
  <c r="M23" i="2"/>
  <c r="I16" i="3" s="1"/>
  <c r="N14" i="2"/>
  <c r="Q14" i="2" s="1"/>
  <c r="R14" i="2" s="1"/>
  <c r="S14" i="2" s="1"/>
  <c r="T14" i="2" s="1"/>
  <c r="T24" i="2"/>
  <c r="M85" i="2"/>
  <c r="T92" i="2"/>
  <c r="N90" i="2"/>
  <c r="N74" i="2"/>
  <c r="N50" i="2"/>
  <c r="Q50" i="2" s="1"/>
  <c r="R50" i="2" s="1"/>
  <c r="S50" i="2" s="1"/>
  <c r="T50" i="2" s="1"/>
  <c r="T47" i="2"/>
  <c r="N42" i="2"/>
  <c r="Q42" i="2" s="1"/>
  <c r="R42" i="2" s="1"/>
  <c r="S42" i="2" s="1"/>
  <c r="T42" i="2" s="1"/>
  <c r="T19" i="2"/>
  <c r="T58" i="2"/>
  <c r="T83" i="2"/>
  <c r="M63" i="2"/>
  <c r="T63" i="2" s="1"/>
  <c r="T40" i="2"/>
  <c r="T38" i="2"/>
  <c r="M37" i="2"/>
  <c r="T37" i="2" s="1"/>
  <c r="M32" i="2"/>
  <c r="T32" i="2" s="1"/>
  <c r="T30" i="2"/>
  <c r="M29" i="2"/>
  <c r="T29" i="2" s="1"/>
  <c r="M24" i="2"/>
  <c r="I17" i="3" s="1"/>
  <c r="M17" i="2"/>
  <c r="T17" i="2" s="1"/>
  <c r="T91" i="2"/>
  <c r="M88" i="2"/>
  <c r="T88" i="2" s="1"/>
  <c r="M83" i="2"/>
  <c r="M80" i="2"/>
  <c r="T75" i="2"/>
  <c r="M72" i="2"/>
  <c r="T72" i="2" s="1"/>
  <c r="M69" i="2"/>
  <c r="T69" i="2" s="1"/>
  <c r="M64" i="2"/>
  <c r="T64" i="2" s="1"/>
  <c r="T56" i="2"/>
  <c r="T54" i="2"/>
  <c r="M53" i="2"/>
  <c r="T46" i="2"/>
  <c r="M45" i="2"/>
  <c r="T43" i="2"/>
  <c r="M40" i="2"/>
  <c r="M35" i="2"/>
  <c r="T35" i="2" s="1"/>
  <c r="T20" i="2"/>
  <c r="N18" i="2"/>
  <c r="Q18" i="2" s="1"/>
  <c r="R18" i="2" s="1"/>
  <c r="S18" i="2" s="1"/>
  <c r="T18" i="2" s="1"/>
  <c r="M15" i="2"/>
  <c r="T15" i="2" s="1"/>
  <c r="T78" i="2"/>
  <c r="M61" i="2"/>
  <c r="M13" i="2"/>
  <c r="T13" i="2" s="1"/>
  <c r="T55" i="2"/>
  <c r="T44" i="2"/>
  <c r="T21" i="2"/>
  <c r="M76" i="2"/>
  <c r="T76" i="2" s="1"/>
  <c r="Q61" i="2"/>
  <c r="R61" i="2" s="1"/>
  <c r="S61" i="2" s="1"/>
  <c r="T61" i="2" s="1"/>
  <c r="M59" i="2"/>
  <c r="T59" i="2" s="1"/>
  <c r="M55" i="2"/>
  <c r="Q89" i="2"/>
  <c r="R89" i="2" s="1"/>
  <c r="S89" i="2" s="1"/>
  <c r="T89" i="2" s="1"/>
  <c r="M87" i="2"/>
  <c r="T87" i="2" s="1"/>
  <c r="Q73" i="2"/>
  <c r="R73" i="2" s="1"/>
  <c r="S73" i="2" s="1"/>
  <c r="T73" i="2" s="1"/>
  <c r="M71" i="2"/>
  <c r="T71" i="2" s="1"/>
  <c r="Q62" i="2"/>
  <c r="R62" i="2" s="1"/>
  <c r="S62" i="2" s="1"/>
  <c r="T62" i="2" s="1"/>
  <c r="M60" i="2"/>
  <c r="T60" i="2" s="1"/>
  <c r="Q53" i="2"/>
  <c r="R53" i="2" s="1"/>
  <c r="S53" i="2" s="1"/>
  <c r="T53" i="2" s="1"/>
  <c r="T41" i="2"/>
  <c r="Q90" i="2"/>
  <c r="R90" i="2" s="1"/>
  <c r="S90" i="2" s="1"/>
  <c r="T90" i="2" s="1"/>
  <c r="Q74" i="2"/>
  <c r="R74" i="2" s="1"/>
  <c r="S74" i="2" s="1"/>
  <c r="T74" i="2" s="1"/>
  <c r="Q57" i="2"/>
  <c r="R57" i="2" s="1"/>
  <c r="S57" i="2" s="1"/>
  <c r="T57" i="2" s="1"/>
  <c r="Q85" i="2"/>
  <c r="R85" i="2" s="1"/>
  <c r="S85" i="2" s="1"/>
  <c r="T85" i="2" s="1"/>
  <c r="Q86" i="2"/>
  <c r="R86" i="2" s="1"/>
  <c r="S86" i="2" s="1"/>
  <c r="T86" i="2" s="1"/>
  <c r="M84" i="2"/>
  <c r="T84" i="2" s="1"/>
  <c r="Q70" i="2"/>
  <c r="R70" i="2" s="1"/>
  <c r="S70" i="2" s="1"/>
  <c r="T70" i="2" s="1"/>
  <c r="M68" i="2"/>
  <c r="T68" i="2" s="1"/>
  <c r="M67" i="2"/>
  <c r="T67" i="2" s="1"/>
  <c r="Q45" i="2"/>
  <c r="R45" i="2" s="1"/>
  <c r="S45" i="2" s="1"/>
  <c r="T45" i="2" s="1"/>
  <c r="M27" i="2"/>
  <c r="I20" i="3" s="1"/>
  <c r="Q81" i="2"/>
  <c r="R81" i="2" s="1"/>
  <c r="S81" i="2" s="1"/>
  <c r="T81" i="2" s="1"/>
  <c r="M79" i="2"/>
  <c r="T79" i="2" s="1"/>
  <c r="M39" i="2"/>
  <c r="T39" i="2" s="1"/>
  <c r="Q65" i="2"/>
  <c r="R65" i="2" s="1"/>
  <c r="S65" i="2" s="1"/>
  <c r="T65" i="2" s="1"/>
  <c r="T16" i="2"/>
  <c r="BB6" i="6"/>
  <c r="BB15" i="6"/>
  <c r="BB7" i="6"/>
  <c r="BH17" i="6"/>
  <c r="BK17" i="6" s="1"/>
  <c r="BH9" i="6"/>
  <c r="BK9" i="6" s="1"/>
  <c r="BH16" i="6"/>
  <c r="BK16" i="6" s="1"/>
  <c r="BH8" i="6"/>
  <c r="BK8" i="6" s="1"/>
  <c r="BB5" i="6"/>
  <c r="BB13" i="6"/>
  <c r="BH15" i="6"/>
  <c r="BK15" i="6" s="1"/>
  <c r="BH7" i="6"/>
  <c r="BK7" i="6" s="1"/>
  <c r="BB20" i="6"/>
  <c r="BB12" i="6"/>
  <c r="BH14" i="6"/>
  <c r="BK14" i="6" s="1"/>
  <c r="BH6" i="6"/>
  <c r="BK6" i="6" s="1"/>
  <c r="BH5" i="6"/>
  <c r="BK5" i="6" s="1"/>
  <c r="BB18" i="6"/>
  <c r="BB10" i="6"/>
  <c r="BH12" i="6"/>
  <c r="BK12" i="6" s="1"/>
  <c r="BB17" i="6"/>
  <c r="BB9" i="6"/>
  <c r="BH19" i="6"/>
  <c r="BK19" i="6" s="1"/>
  <c r="BH11" i="6"/>
  <c r="BK11" i="6" s="1"/>
  <c r="BB19" i="6"/>
  <c r="BB11" i="6"/>
  <c r="BH13" i="6"/>
  <c r="BK13" i="6" s="1"/>
  <c r="BB16" i="6"/>
  <c r="BB8" i="6"/>
  <c r="BH18" i="6"/>
  <c r="BK18" i="6" s="1"/>
  <c r="BH10" i="6"/>
  <c r="BK10" i="6" s="1"/>
  <c r="BE57" i="6"/>
  <c r="BE49" i="6"/>
  <c r="BE52" i="6"/>
  <c r="BE44" i="6"/>
  <c r="BE36" i="6"/>
  <c r="BE28" i="6"/>
  <c r="G20" i="4"/>
  <c r="E21" i="5" s="1"/>
  <c r="BE20" i="6"/>
  <c r="G12" i="4"/>
  <c r="E13" i="5" s="1"/>
  <c r="BE12" i="6"/>
  <c r="BE25" i="6"/>
  <c r="BE48" i="6"/>
  <c r="BE59" i="6"/>
  <c r="BE51" i="6"/>
  <c r="BE43" i="6"/>
  <c r="BE35" i="6"/>
  <c r="BE27" i="6"/>
  <c r="BE19" i="6"/>
  <c r="BE58" i="6"/>
  <c r="BE50" i="6"/>
  <c r="BE42" i="6"/>
  <c r="BE34" i="6"/>
  <c r="BE26" i="6"/>
  <c r="BE18" i="6"/>
  <c r="BE41" i="6"/>
  <c r="BE32" i="6"/>
  <c r="BE24" i="6"/>
  <c r="BE17" i="6"/>
  <c r="BE55" i="6"/>
  <c r="BE47" i="6"/>
  <c r="BE39" i="6"/>
  <c r="BE31" i="6"/>
  <c r="BE23" i="6"/>
  <c r="BE33" i="6"/>
  <c r="BE56" i="6"/>
  <c r="BE40" i="6"/>
  <c r="BE22" i="6"/>
  <c r="BE46" i="6"/>
  <c r="BE38" i="6"/>
  <c r="BE30" i="6"/>
  <c r="BE53" i="6"/>
  <c r="BE45" i="6"/>
  <c r="BE37" i="6"/>
  <c r="BE29" i="6"/>
  <c r="BE21" i="6"/>
  <c r="F11" i="4"/>
  <c r="G11" i="4" s="1"/>
  <c r="E12" i="5" s="1"/>
  <c r="I13" i="3"/>
  <c r="F18" i="4"/>
  <c r="G18" i="4" s="1"/>
  <c r="E19" i="5" s="1"/>
  <c r="I8" i="3"/>
  <c r="G14" i="4"/>
  <c r="E15" i="5" s="1"/>
  <c r="I21" i="3"/>
  <c r="C6" i="3"/>
  <c r="F6" i="3" s="1"/>
  <c r="G6" i="3" s="1"/>
  <c r="H6" i="3" s="1"/>
  <c r="C78" i="3"/>
  <c r="F78" i="3" s="1"/>
  <c r="G78" i="3" s="1"/>
  <c r="H78" i="3" s="1"/>
  <c r="C70" i="3"/>
  <c r="F70" i="3" s="1"/>
  <c r="G70" i="3" s="1"/>
  <c r="H70" i="3" s="1"/>
  <c r="C62" i="3"/>
  <c r="F62" i="3" s="1"/>
  <c r="G62" i="3" s="1"/>
  <c r="H62" i="3" s="1"/>
  <c r="C54" i="3"/>
  <c r="F54" i="3" s="1"/>
  <c r="G54" i="3" s="1"/>
  <c r="H54" i="3" s="1"/>
  <c r="C46" i="3"/>
  <c r="F46" i="3" s="1"/>
  <c r="G46" i="3" s="1"/>
  <c r="H46" i="3" s="1"/>
  <c r="C38" i="3"/>
  <c r="F38" i="3" s="1"/>
  <c r="G38" i="3" s="1"/>
  <c r="H38" i="3" s="1"/>
  <c r="C30" i="3"/>
  <c r="C14" i="3"/>
  <c r="F14" i="3" s="1"/>
  <c r="G14" i="3" s="1"/>
  <c r="H14" i="3" s="1"/>
  <c r="C22" i="3"/>
  <c r="F22" i="3" s="1"/>
  <c r="G22" i="3" s="1"/>
  <c r="H22" i="3" s="1"/>
  <c r="C85" i="3"/>
  <c r="F85" i="3" s="1"/>
  <c r="G85" i="3" s="1"/>
  <c r="H85" i="3" s="1"/>
  <c r="C77" i="3"/>
  <c r="F77" i="3" s="1"/>
  <c r="G77" i="3" s="1"/>
  <c r="H77" i="3" s="1"/>
  <c r="C69" i="3"/>
  <c r="F69" i="3" s="1"/>
  <c r="G69" i="3" s="1"/>
  <c r="H69" i="3" s="1"/>
  <c r="C61" i="3"/>
  <c r="F61" i="3" s="1"/>
  <c r="G61" i="3" s="1"/>
  <c r="H61" i="3" s="1"/>
  <c r="C53" i="3"/>
  <c r="F53" i="3" s="1"/>
  <c r="G53" i="3" s="1"/>
  <c r="H53" i="3" s="1"/>
  <c r="C45" i="3"/>
  <c r="F45" i="3" s="1"/>
  <c r="G45" i="3" s="1"/>
  <c r="H45" i="3" s="1"/>
  <c r="C37" i="3"/>
  <c r="F37" i="3" s="1"/>
  <c r="G37" i="3" s="1"/>
  <c r="H37" i="3" s="1"/>
  <c r="C29" i="3"/>
  <c r="F29" i="3" s="1"/>
  <c r="G29" i="3" s="1"/>
  <c r="H29" i="3" s="1"/>
  <c r="C21" i="3"/>
  <c r="F21" i="3" s="1"/>
  <c r="G21" i="3" s="1"/>
  <c r="H21" i="3" s="1"/>
  <c r="C13" i="3"/>
  <c r="F13" i="3" s="1"/>
  <c r="G13" i="3" s="1"/>
  <c r="H13" i="3" s="1"/>
  <c r="C84" i="3"/>
  <c r="F84" i="3" s="1"/>
  <c r="G84" i="3" s="1"/>
  <c r="H84" i="3" s="1"/>
  <c r="C76" i="3"/>
  <c r="F76" i="3" s="1"/>
  <c r="G76" i="3" s="1"/>
  <c r="H76" i="3" s="1"/>
  <c r="C68" i="3"/>
  <c r="F68" i="3" s="1"/>
  <c r="G68" i="3" s="1"/>
  <c r="H68" i="3" s="1"/>
  <c r="C60" i="3"/>
  <c r="F60" i="3" s="1"/>
  <c r="G60" i="3" s="1"/>
  <c r="H60" i="3" s="1"/>
  <c r="C52" i="3"/>
  <c r="F52" i="3" s="1"/>
  <c r="G52" i="3" s="1"/>
  <c r="H52" i="3" s="1"/>
  <c r="C44" i="3"/>
  <c r="F44" i="3" s="1"/>
  <c r="G44" i="3" s="1"/>
  <c r="H44" i="3" s="1"/>
  <c r="C36" i="3"/>
  <c r="F36" i="3" s="1"/>
  <c r="G36" i="3" s="1"/>
  <c r="H36" i="3" s="1"/>
  <c r="C28" i="3"/>
  <c r="F28" i="3" s="1"/>
  <c r="G28" i="3" s="1"/>
  <c r="H28" i="3" s="1"/>
  <c r="C12" i="3"/>
  <c r="F12" i="3" s="1"/>
  <c r="G12" i="3" s="1"/>
  <c r="H12" i="3" s="1"/>
  <c r="C20" i="3"/>
  <c r="C83" i="3"/>
  <c r="F83" i="3" s="1"/>
  <c r="G83" i="3" s="1"/>
  <c r="H83" i="3" s="1"/>
  <c r="C75" i="3"/>
  <c r="F75" i="3" s="1"/>
  <c r="G75" i="3" s="1"/>
  <c r="H75" i="3" s="1"/>
  <c r="C67" i="3"/>
  <c r="F67" i="3" s="1"/>
  <c r="G67" i="3" s="1"/>
  <c r="H67" i="3" s="1"/>
  <c r="C59" i="3"/>
  <c r="F59" i="3" s="1"/>
  <c r="G59" i="3" s="1"/>
  <c r="H59" i="3" s="1"/>
  <c r="C51" i="3"/>
  <c r="F51" i="3" s="1"/>
  <c r="G51" i="3" s="1"/>
  <c r="H51" i="3" s="1"/>
  <c r="C43" i="3"/>
  <c r="F43" i="3" s="1"/>
  <c r="G43" i="3" s="1"/>
  <c r="H43" i="3" s="1"/>
  <c r="C35" i="3"/>
  <c r="F35" i="3" s="1"/>
  <c r="G35" i="3" s="1"/>
  <c r="H35" i="3" s="1"/>
  <c r="C27" i="3"/>
  <c r="F27" i="3" s="1"/>
  <c r="G27" i="3" s="1"/>
  <c r="H27" i="3" s="1"/>
  <c r="C19" i="3"/>
  <c r="F19" i="3" s="1"/>
  <c r="G19" i="3" s="1"/>
  <c r="H19" i="3" s="1"/>
  <c r="C11" i="3"/>
  <c r="F11" i="3" s="1"/>
  <c r="G11" i="3" s="1"/>
  <c r="H11" i="3" s="1"/>
  <c r="F72" i="3"/>
  <c r="G72" i="3" s="1"/>
  <c r="H72" i="3" s="1"/>
  <c r="C82" i="3"/>
  <c r="F82" i="3" s="1"/>
  <c r="G82" i="3" s="1"/>
  <c r="H82" i="3" s="1"/>
  <c r="C74" i="3"/>
  <c r="F74" i="3" s="1"/>
  <c r="G74" i="3" s="1"/>
  <c r="H74" i="3" s="1"/>
  <c r="C66" i="3"/>
  <c r="F66" i="3" s="1"/>
  <c r="G66" i="3" s="1"/>
  <c r="H66" i="3" s="1"/>
  <c r="C58" i="3"/>
  <c r="F58" i="3" s="1"/>
  <c r="G58" i="3" s="1"/>
  <c r="H58" i="3" s="1"/>
  <c r="C50" i="3"/>
  <c r="F50" i="3" s="1"/>
  <c r="G50" i="3" s="1"/>
  <c r="H50" i="3" s="1"/>
  <c r="C42" i="3"/>
  <c r="F42" i="3" s="1"/>
  <c r="G42" i="3" s="1"/>
  <c r="H42" i="3" s="1"/>
  <c r="C34" i="3"/>
  <c r="F34" i="3" s="1"/>
  <c r="G34" i="3" s="1"/>
  <c r="H34" i="3" s="1"/>
  <c r="C26" i="3"/>
  <c r="F26" i="3" s="1"/>
  <c r="G26" i="3" s="1"/>
  <c r="H26" i="3" s="1"/>
  <c r="C18" i="3"/>
  <c r="F18" i="3" s="1"/>
  <c r="G18" i="3" s="1"/>
  <c r="H18" i="3" s="1"/>
  <c r="C10" i="3"/>
  <c r="F10" i="3" s="1"/>
  <c r="G10" i="3" s="1"/>
  <c r="H10" i="3" s="1"/>
  <c r="C9" i="3"/>
  <c r="F9" i="3" s="1"/>
  <c r="G9" i="3" s="1"/>
  <c r="H9" i="3" s="1"/>
  <c r="C8" i="3"/>
  <c r="F8" i="3" s="1"/>
  <c r="G8" i="3" s="1"/>
  <c r="H8" i="3" s="1"/>
  <c r="C81" i="3"/>
  <c r="F81" i="3" s="1"/>
  <c r="G81" i="3" s="1"/>
  <c r="H81" i="3" s="1"/>
  <c r="C73" i="3"/>
  <c r="F73" i="3" s="1"/>
  <c r="G73" i="3" s="1"/>
  <c r="H73" i="3" s="1"/>
  <c r="C65" i="3"/>
  <c r="F65" i="3" s="1"/>
  <c r="G65" i="3" s="1"/>
  <c r="H65" i="3" s="1"/>
  <c r="C57" i="3"/>
  <c r="F57" i="3" s="1"/>
  <c r="G57" i="3" s="1"/>
  <c r="H57" i="3" s="1"/>
  <c r="C49" i="3"/>
  <c r="C41" i="3"/>
  <c r="F41" i="3" s="1"/>
  <c r="G41" i="3" s="1"/>
  <c r="H41" i="3" s="1"/>
  <c r="C33" i="3"/>
  <c r="F33" i="3" s="1"/>
  <c r="G33" i="3" s="1"/>
  <c r="H33" i="3" s="1"/>
  <c r="C25" i="3"/>
  <c r="F25" i="3" s="1"/>
  <c r="G25" i="3" s="1"/>
  <c r="H25" i="3" s="1"/>
  <c r="C17" i="3"/>
  <c r="F17" i="3" s="1"/>
  <c r="G17" i="3" s="1"/>
  <c r="H17" i="3" s="1"/>
  <c r="C80" i="3"/>
  <c r="F80" i="3" s="1"/>
  <c r="G80" i="3" s="1"/>
  <c r="H80" i="3" s="1"/>
  <c r="C72" i="3"/>
  <c r="C64" i="3"/>
  <c r="F64" i="3" s="1"/>
  <c r="G64" i="3" s="1"/>
  <c r="H64" i="3" s="1"/>
  <c r="C56" i="3"/>
  <c r="F56" i="3" s="1"/>
  <c r="G56" i="3" s="1"/>
  <c r="H56" i="3" s="1"/>
  <c r="C48" i="3"/>
  <c r="F48" i="3" s="1"/>
  <c r="G48" i="3" s="1"/>
  <c r="H48" i="3" s="1"/>
  <c r="C40" i="3"/>
  <c r="F40" i="3" s="1"/>
  <c r="G40" i="3" s="1"/>
  <c r="H40" i="3" s="1"/>
  <c r="C32" i="3"/>
  <c r="F32" i="3" s="1"/>
  <c r="G32" i="3" s="1"/>
  <c r="H32" i="3" s="1"/>
  <c r="C24" i="3"/>
  <c r="F24" i="3" s="1"/>
  <c r="G24" i="3" s="1"/>
  <c r="H24" i="3" s="1"/>
  <c r="C16" i="3"/>
  <c r="F16" i="3" s="1"/>
  <c r="G16" i="3" s="1"/>
  <c r="H16" i="3" s="1"/>
  <c r="C79" i="3"/>
  <c r="C71" i="3"/>
  <c r="F71" i="3" s="1"/>
  <c r="G71" i="3" s="1"/>
  <c r="H71" i="3" s="1"/>
  <c r="C63" i="3"/>
  <c r="F63" i="3" s="1"/>
  <c r="G63" i="3" s="1"/>
  <c r="H63" i="3" s="1"/>
  <c r="C55" i="3"/>
  <c r="F55" i="3" s="1"/>
  <c r="G55" i="3" s="1"/>
  <c r="H55" i="3" s="1"/>
  <c r="C47" i="3"/>
  <c r="F47" i="3" s="1"/>
  <c r="G47" i="3" s="1"/>
  <c r="H47" i="3" s="1"/>
  <c r="C39" i="3"/>
  <c r="F39" i="3" s="1"/>
  <c r="G39" i="3" s="1"/>
  <c r="H39" i="3" s="1"/>
  <c r="C31" i="3"/>
  <c r="F31" i="3" s="1"/>
  <c r="G31" i="3" s="1"/>
  <c r="H31" i="3" s="1"/>
  <c r="C23" i="3"/>
  <c r="F23" i="3" s="1"/>
  <c r="G23" i="3" s="1"/>
  <c r="H23" i="3" s="1"/>
  <c r="C15" i="3"/>
  <c r="I15" i="3"/>
  <c r="I14" i="3"/>
  <c r="G13" i="4"/>
  <c r="E14" i="5" s="1"/>
  <c r="I12" i="3"/>
  <c r="F10" i="4"/>
  <c r="G10" i="4" s="1"/>
  <c r="E11" i="5" s="1"/>
  <c r="F7" i="4"/>
  <c r="G7" i="4" s="1"/>
  <c r="E8" i="5" s="1"/>
  <c r="F79" i="3"/>
  <c r="G79" i="3" s="1"/>
  <c r="H79" i="3" s="1"/>
  <c r="F15" i="3"/>
  <c r="G15" i="3" s="1"/>
  <c r="H15" i="3" s="1"/>
  <c r="F7" i="3"/>
  <c r="G7" i="3" s="1"/>
  <c r="H7" i="3" s="1"/>
  <c r="F20" i="3"/>
  <c r="G20" i="3" s="1"/>
  <c r="H20" i="3" s="1"/>
  <c r="F49" i="3"/>
  <c r="G49" i="3" s="1"/>
  <c r="H49" i="3" s="1"/>
  <c r="F30" i="3"/>
  <c r="G30" i="3" s="1"/>
  <c r="H30" i="3" s="1"/>
  <c r="F29" i="2"/>
  <c r="F15" i="4" l="1"/>
  <c r="G15" i="4" s="1"/>
  <c r="E16" i="5" s="1"/>
  <c r="T25" i="2"/>
  <c r="T27" i="2"/>
  <c r="F19" i="4"/>
  <c r="G19" i="4" s="1"/>
  <c r="E20" i="5" s="1"/>
  <c r="T23" i="2"/>
  <c r="F16" i="4"/>
  <c r="G16" i="4" s="1"/>
  <c r="E17" i="5" s="1"/>
  <c r="I18" i="3"/>
  <c r="F30" i="2"/>
  <c r="BH21" i="6"/>
  <c r="BK21" i="6" s="1"/>
  <c r="BB21" i="6"/>
  <c r="F24" i="4"/>
  <c r="G24" i="4" s="1"/>
  <c r="E25" i="5" s="1"/>
  <c r="I25" i="3"/>
  <c r="I36" i="3"/>
  <c r="F35" i="4"/>
  <c r="G35" i="4" s="1"/>
  <c r="E36" i="5" s="1"/>
  <c r="F45" i="4"/>
  <c r="G45" i="4" s="1"/>
  <c r="E46" i="5" s="1"/>
  <c r="I46" i="3"/>
  <c r="D46" i="5" s="1"/>
  <c r="F39" i="4"/>
  <c r="G39" i="4" s="1"/>
  <c r="E40" i="5" s="1"/>
  <c r="I40" i="3"/>
  <c r="F22" i="4"/>
  <c r="G22" i="4" s="1"/>
  <c r="E23" i="5" s="1"/>
  <c r="I23" i="3"/>
  <c r="D23" i="5" s="1"/>
  <c r="F56" i="4"/>
  <c r="G56" i="4" s="1"/>
  <c r="E57" i="5" s="1"/>
  <c r="I57" i="3"/>
  <c r="D57" i="5" s="1"/>
  <c r="F57" i="4"/>
  <c r="G57" i="4" s="1"/>
  <c r="E58" i="5" s="1"/>
  <c r="I58" i="3"/>
  <c r="F52" i="4"/>
  <c r="G52" i="4" s="1"/>
  <c r="E53" i="5" s="1"/>
  <c r="I53" i="3"/>
  <c r="F53" i="4"/>
  <c r="G53" i="4" s="1"/>
  <c r="E54" i="5" s="1"/>
  <c r="I54" i="3"/>
  <c r="F33" i="4"/>
  <c r="G33" i="4" s="1"/>
  <c r="E34" i="5" s="1"/>
  <c r="I34" i="3"/>
  <c r="D34" i="5" s="1"/>
  <c r="F21" i="4"/>
  <c r="G21" i="4" s="1"/>
  <c r="E22" i="5" s="1"/>
  <c r="I22" i="3"/>
  <c r="F37" i="4"/>
  <c r="G37" i="4" s="1"/>
  <c r="E38" i="5" s="1"/>
  <c r="I38" i="3"/>
  <c r="D38" i="5" s="1"/>
  <c r="F23" i="4"/>
  <c r="G23" i="4" s="1"/>
  <c r="E24" i="5" s="1"/>
  <c r="I24" i="3"/>
  <c r="I35" i="3"/>
  <c r="F34" i="4"/>
  <c r="G34" i="4" s="1"/>
  <c r="E35" i="5" s="1"/>
  <c r="I44" i="3"/>
  <c r="D44" i="5" s="1"/>
  <c r="F43" i="4"/>
  <c r="G43" i="4" s="1"/>
  <c r="E44" i="5" s="1"/>
  <c r="F29" i="4"/>
  <c r="G29" i="4" s="1"/>
  <c r="E30" i="5" s="1"/>
  <c r="I30" i="3"/>
  <c r="D30" i="5" s="1"/>
  <c r="F31" i="4"/>
  <c r="G31" i="4" s="1"/>
  <c r="E32" i="5" s="1"/>
  <c r="I32" i="3"/>
  <c r="I51" i="3"/>
  <c r="F50" i="4"/>
  <c r="G50" i="4" s="1"/>
  <c r="E51" i="5" s="1"/>
  <c r="J6" i="3"/>
  <c r="F32" i="4"/>
  <c r="G32" i="4" s="1"/>
  <c r="E33" i="5" s="1"/>
  <c r="I33" i="3"/>
  <c r="D33" i="5" s="1"/>
  <c r="F25" i="4"/>
  <c r="G25" i="4" s="1"/>
  <c r="E26" i="5" s="1"/>
  <c r="I26" i="3"/>
  <c r="D26" i="5" s="1"/>
  <c r="I60" i="3"/>
  <c r="F59" i="4"/>
  <c r="G59" i="4" s="1"/>
  <c r="E60" i="5" s="1"/>
  <c r="F47" i="4"/>
  <c r="G47" i="4" s="1"/>
  <c r="E48" i="5" s="1"/>
  <c r="I48" i="3"/>
  <c r="D48" i="5" s="1"/>
  <c r="F30" i="4"/>
  <c r="G30" i="4" s="1"/>
  <c r="E31" i="5" s="1"/>
  <c r="I31" i="3"/>
  <c r="D31" i="5" s="1"/>
  <c r="F58" i="4"/>
  <c r="G58" i="4" s="1"/>
  <c r="E59" i="5" s="1"/>
  <c r="I59" i="3"/>
  <c r="D59" i="5" s="1"/>
  <c r="I27" i="3"/>
  <c r="F26" i="4"/>
  <c r="G26" i="4" s="1"/>
  <c r="E27" i="5" s="1"/>
  <c r="F28" i="4"/>
  <c r="G28" i="4" s="1"/>
  <c r="E29" i="5" s="1"/>
  <c r="I29" i="3"/>
  <c r="D29" i="5" s="1"/>
  <c r="F40" i="4"/>
  <c r="G40" i="4" s="1"/>
  <c r="E41" i="5" s="1"/>
  <c r="I41" i="3"/>
  <c r="D41" i="5" s="1"/>
  <c r="F41" i="4"/>
  <c r="G41" i="4" s="1"/>
  <c r="E42" i="5" s="1"/>
  <c r="I42" i="3"/>
  <c r="D42" i="5" s="1"/>
  <c r="I52" i="3"/>
  <c r="F51" i="4"/>
  <c r="G51" i="4" s="1"/>
  <c r="E52" i="5" s="1"/>
  <c r="J56" i="3"/>
  <c r="F55" i="4"/>
  <c r="G55" i="4" s="1"/>
  <c r="E56" i="5" s="1"/>
  <c r="I56" i="3"/>
  <c r="D56" i="5" s="1"/>
  <c r="F38" i="4"/>
  <c r="G38" i="4" s="1"/>
  <c r="E39" i="5" s="1"/>
  <c r="I39" i="3"/>
  <c r="D39" i="5" s="1"/>
  <c r="F44" i="4"/>
  <c r="G44" i="4" s="1"/>
  <c r="E45" i="5" s="1"/>
  <c r="I45" i="3"/>
  <c r="D45" i="5" s="1"/>
  <c r="F48" i="4"/>
  <c r="G48" i="4" s="1"/>
  <c r="E49" i="5" s="1"/>
  <c r="I49" i="3"/>
  <c r="D49" i="5" s="1"/>
  <c r="F49" i="4"/>
  <c r="G49" i="4" s="1"/>
  <c r="E50" i="5" s="1"/>
  <c r="I50" i="3"/>
  <c r="D50" i="5" s="1"/>
  <c r="F36" i="4"/>
  <c r="G36" i="4" s="1"/>
  <c r="E37" i="5" s="1"/>
  <c r="I37" i="3"/>
  <c r="D37" i="5" s="1"/>
  <c r="I28" i="3"/>
  <c r="D28" i="5" s="1"/>
  <c r="F28" i="5" s="1"/>
  <c r="BG27" i="6" s="1"/>
  <c r="F27" i="4"/>
  <c r="G27" i="4" s="1"/>
  <c r="E28" i="5" s="1"/>
  <c r="F46" i="4"/>
  <c r="G46" i="4" s="1"/>
  <c r="E47" i="5" s="1"/>
  <c r="I47" i="3"/>
  <c r="D47" i="5" s="1"/>
  <c r="I43" i="3"/>
  <c r="D43" i="5" s="1"/>
  <c r="F42" i="4"/>
  <c r="G42" i="4" s="1"/>
  <c r="E43" i="5" s="1"/>
  <c r="BJ38" i="6"/>
  <c r="AX38" i="6" s="1"/>
  <c r="BJ51" i="6"/>
  <c r="AX51" i="6" s="1"/>
  <c r="D52" i="5"/>
  <c r="BJ37" i="6"/>
  <c r="AX37" i="6" s="1"/>
  <c r="BJ23" i="6"/>
  <c r="AX23" i="6" s="1"/>
  <c r="D24" i="5"/>
  <c r="BJ46" i="6"/>
  <c r="AX46" i="6" s="1"/>
  <c r="BJ33" i="6"/>
  <c r="AX33" i="6" s="1"/>
  <c r="BJ22" i="6"/>
  <c r="AX22" i="6" s="1"/>
  <c r="BJ59" i="6"/>
  <c r="AX59" i="6" s="1"/>
  <c r="D60" i="5"/>
  <c r="BJ31" i="6"/>
  <c r="AX31" i="6" s="1"/>
  <c r="D32" i="5"/>
  <c r="D54" i="5"/>
  <c r="BJ53" i="6"/>
  <c r="AX53" i="6" s="1"/>
  <c r="BJ39" i="6"/>
  <c r="AX39" i="6" s="1"/>
  <c r="D40" i="5"/>
  <c r="F40" i="5" s="1"/>
  <c r="BG39" i="6" s="1"/>
  <c r="BJ49" i="6"/>
  <c r="AX49" i="6" s="1"/>
  <c r="BJ28" i="6"/>
  <c r="AX28" i="6" s="1"/>
  <c r="BJ57" i="6"/>
  <c r="AX57" i="6" s="1"/>
  <c r="D58" i="5"/>
  <c r="BJ24" i="6"/>
  <c r="AX24" i="6" s="1"/>
  <c r="D25" i="5"/>
  <c r="F25" i="5" s="1"/>
  <c r="BG24" i="6" s="1"/>
  <c r="J13" i="3"/>
  <c r="BJ12" i="6"/>
  <c r="AX12" i="6" s="1"/>
  <c r="D13" i="5"/>
  <c r="F13" i="5" s="1"/>
  <c r="BG12" i="6" s="1"/>
  <c r="BJ45" i="6"/>
  <c r="AX45" i="6" s="1"/>
  <c r="BJ41" i="6"/>
  <c r="AX41" i="6" s="1"/>
  <c r="BJ34" i="6"/>
  <c r="AX34" i="6" s="1"/>
  <c r="D35" i="5"/>
  <c r="BJ47" i="6"/>
  <c r="AX47" i="6" s="1"/>
  <c r="J34" i="3"/>
  <c r="J21" i="3"/>
  <c r="D21" i="5"/>
  <c r="F21" i="5" s="1"/>
  <c r="BG20" i="6" s="1"/>
  <c r="BJ20" i="6"/>
  <c r="AX20" i="6" s="1"/>
  <c r="J20" i="3"/>
  <c r="BJ19" i="6"/>
  <c r="AX19" i="6" s="1"/>
  <c r="D20" i="5"/>
  <c r="F20" i="5" s="1"/>
  <c r="BG19" i="6" s="1"/>
  <c r="BJ25" i="6"/>
  <c r="AX25" i="6" s="1"/>
  <c r="BJ44" i="6"/>
  <c r="AX44" i="6" s="1"/>
  <c r="BJ58" i="6"/>
  <c r="AX58" i="6" s="1"/>
  <c r="J22" i="3"/>
  <c r="D22" i="5"/>
  <c r="BJ21" i="6"/>
  <c r="AX21" i="6" s="1"/>
  <c r="J19" i="3"/>
  <c r="BJ18" i="6"/>
  <c r="AX18" i="6" s="1"/>
  <c r="D19" i="5"/>
  <c r="F19" i="5" s="1"/>
  <c r="BG18" i="6" s="1"/>
  <c r="BJ50" i="6"/>
  <c r="AX50" i="6" s="1"/>
  <c r="D51" i="5"/>
  <c r="J31" i="3"/>
  <c r="BJ30" i="6"/>
  <c r="AX30" i="6" s="1"/>
  <c r="BJ29" i="6"/>
  <c r="AX29" i="6" s="1"/>
  <c r="BJ43" i="6"/>
  <c r="AX43" i="6" s="1"/>
  <c r="D53" i="5"/>
  <c r="F53" i="5" s="1"/>
  <c r="BG52" i="6" s="1"/>
  <c r="BJ52" i="6"/>
  <c r="AX52" i="6" s="1"/>
  <c r="BJ35" i="6"/>
  <c r="AX35" i="6" s="1"/>
  <c r="D36" i="5"/>
  <c r="F36" i="5" s="1"/>
  <c r="BG35" i="6" s="1"/>
  <c r="BJ55" i="6"/>
  <c r="AX55" i="6" s="1"/>
  <c r="J18" i="3"/>
  <c r="BJ17" i="6"/>
  <c r="AX17" i="6" s="1"/>
  <c r="D18" i="5"/>
  <c r="F18" i="5" s="1"/>
  <c r="BG17" i="6" s="1"/>
  <c r="BJ26" i="6"/>
  <c r="AX26" i="6" s="1"/>
  <c r="D27" i="5"/>
  <c r="BJ40" i="6"/>
  <c r="AX40" i="6" s="1"/>
  <c r="BJ48" i="6"/>
  <c r="AX48" i="6" s="1"/>
  <c r="BJ42" i="6"/>
  <c r="AX42" i="6" s="1"/>
  <c r="J48" i="3"/>
  <c r="BJ36" i="6"/>
  <c r="AX36" i="6" s="1"/>
  <c r="BJ27" i="6"/>
  <c r="AX27" i="6" s="1"/>
  <c r="BJ56" i="6"/>
  <c r="AX56" i="6" s="1"/>
  <c r="BJ32" i="6"/>
  <c r="AX32" i="6" s="1"/>
  <c r="F54" i="4"/>
  <c r="G54" i="4" s="1"/>
  <c r="E55" i="5" s="1"/>
  <c r="I55" i="3"/>
  <c r="D55" i="5" s="1"/>
  <c r="BJ54" i="6"/>
  <c r="AX54" i="6" s="1"/>
  <c r="I61" i="3"/>
  <c r="D61" i="5" s="1"/>
  <c r="F60" i="4"/>
  <c r="G60" i="4" s="1"/>
  <c r="E61" i="5" s="1"/>
  <c r="BJ60" i="6"/>
  <c r="AX60" i="6" s="1"/>
  <c r="I62" i="3"/>
  <c r="D62" i="5" s="1"/>
  <c r="F61" i="4"/>
  <c r="G61" i="4" s="1"/>
  <c r="E62" i="5" s="1"/>
  <c r="BJ61" i="6"/>
  <c r="AX61" i="6" s="1"/>
  <c r="J63" i="3"/>
  <c r="BJ62" i="6"/>
  <c r="AX62" i="6" s="1"/>
  <c r="I63" i="3"/>
  <c r="D63" i="5" s="1"/>
  <c r="F62" i="4"/>
  <c r="G62" i="4" s="1"/>
  <c r="E63" i="5" s="1"/>
  <c r="J64" i="3"/>
  <c r="I64" i="3"/>
  <c r="D64" i="5" s="1"/>
  <c r="F63" i="4"/>
  <c r="G63" i="4" s="1"/>
  <c r="E64" i="5" s="1"/>
  <c r="BJ63" i="6"/>
  <c r="AX63" i="6" s="1"/>
  <c r="BJ64" i="6"/>
  <c r="AX64" i="6" s="1"/>
  <c r="F64" i="4"/>
  <c r="G64" i="4" s="1"/>
  <c r="E65" i="5" s="1"/>
  <c r="I65" i="3"/>
  <c r="D65" i="5" s="1"/>
  <c r="BJ65" i="6"/>
  <c r="AX65" i="6" s="1"/>
  <c r="I66" i="3"/>
  <c r="D66" i="5" s="1"/>
  <c r="F65" i="4"/>
  <c r="G65" i="4" s="1"/>
  <c r="E66" i="5" s="1"/>
  <c r="I67" i="3"/>
  <c r="D67" i="5" s="1"/>
  <c r="F66" i="4"/>
  <c r="G66" i="4" s="1"/>
  <c r="E67" i="5" s="1"/>
  <c r="BJ66" i="6"/>
  <c r="AX66" i="6" s="1"/>
  <c r="BJ67" i="6"/>
  <c r="AX67" i="6" s="1"/>
  <c r="I68" i="3"/>
  <c r="D68" i="5" s="1"/>
  <c r="F67" i="4"/>
  <c r="G67" i="4" s="1"/>
  <c r="E68" i="5" s="1"/>
  <c r="I69" i="3"/>
  <c r="D69" i="5" s="1"/>
  <c r="F68" i="4"/>
  <c r="G68" i="4" s="1"/>
  <c r="E69" i="5" s="1"/>
  <c r="BJ68" i="6"/>
  <c r="AX68" i="6" s="1"/>
  <c r="I70" i="3"/>
  <c r="D70" i="5" s="1"/>
  <c r="F69" i="4"/>
  <c r="G69" i="4" s="1"/>
  <c r="E70" i="5" s="1"/>
  <c r="BJ69" i="6"/>
  <c r="AX69" i="6" s="1"/>
  <c r="BJ70" i="6"/>
  <c r="AX70" i="6" s="1"/>
  <c r="F70" i="4"/>
  <c r="G70" i="4" s="1"/>
  <c r="E71" i="5" s="1"/>
  <c r="I71" i="3"/>
  <c r="D71" i="5" s="1"/>
  <c r="J72" i="3"/>
  <c r="I72" i="3"/>
  <c r="D72" i="5" s="1"/>
  <c r="F71" i="4"/>
  <c r="G71" i="4" s="1"/>
  <c r="E72" i="5" s="1"/>
  <c r="BJ71" i="6"/>
  <c r="AX71" i="6" s="1"/>
  <c r="F72" i="4"/>
  <c r="G72" i="4" s="1"/>
  <c r="E73" i="5" s="1"/>
  <c r="I73" i="3"/>
  <c r="D73" i="5" s="1"/>
  <c r="BJ72" i="6"/>
  <c r="AX72" i="6" s="1"/>
  <c r="BJ73" i="6"/>
  <c r="AX73" i="6" s="1"/>
  <c r="F73" i="4"/>
  <c r="G73" i="4" s="1"/>
  <c r="E74" i="5" s="1"/>
  <c r="I74" i="3"/>
  <c r="D74" i="5" s="1"/>
  <c r="I75" i="3"/>
  <c r="D75" i="5" s="1"/>
  <c r="F74" i="4"/>
  <c r="G74" i="4" s="1"/>
  <c r="E75" i="5" s="1"/>
  <c r="BJ74" i="6"/>
  <c r="AX74" i="6" s="1"/>
  <c r="BJ75" i="6"/>
  <c r="AX75" i="6" s="1"/>
  <c r="F75" i="4"/>
  <c r="G75" i="4" s="1"/>
  <c r="E76" i="5" s="1"/>
  <c r="I76" i="3"/>
  <c r="D76" i="5" s="1"/>
  <c r="BJ76" i="6"/>
  <c r="AX76" i="6" s="1"/>
  <c r="F76" i="4"/>
  <c r="G76" i="4" s="1"/>
  <c r="E77" i="5" s="1"/>
  <c r="I77" i="3"/>
  <c r="D77" i="5" s="1"/>
  <c r="BJ77" i="6"/>
  <c r="AX77" i="6" s="1"/>
  <c r="F77" i="4"/>
  <c r="G77" i="4" s="1"/>
  <c r="E78" i="5" s="1"/>
  <c r="I78" i="3"/>
  <c r="D78" i="5" s="1"/>
  <c r="BJ78" i="6"/>
  <c r="AX78" i="6" s="1"/>
  <c r="F78" i="4"/>
  <c r="G78" i="4" s="1"/>
  <c r="E79" i="5" s="1"/>
  <c r="I79" i="3"/>
  <c r="D79" i="5" s="1"/>
  <c r="BJ79" i="6"/>
  <c r="AX79" i="6" s="1"/>
  <c r="I80" i="3"/>
  <c r="D80" i="5" s="1"/>
  <c r="F79" i="4"/>
  <c r="G79" i="4" s="1"/>
  <c r="E80" i="5" s="1"/>
  <c r="BJ80" i="6"/>
  <c r="AX80" i="6" s="1"/>
  <c r="F80" i="4"/>
  <c r="G80" i="4" s="1"/>
  <c r="E81" i="5" s="1"/>
  <c r="I81" i="3"/>
  <c r="D81" i="5" s="1"/>
  <c r="F81" i="4"/>
  <c r="G81" i="4" s="1"/>
  <c r="E82" i="5" s="1"/>
  <c r="I82" i="3"/>
  <c r="D82" i="5" s="1"/>
  <c r="BJ81" i="6"/>
  <c r="AX81" i="6" s="1"/>
  <c r="BJ82" i="6"/>
  <c r="AX82" i="6" s="1"/>
  <c r="I83" i="3"/>
  <c r="D83" i="5" s="1"/>
  <c r="F82" i="4"/>
  <c r="G82" i="4" s="1"/>
  <c r="E83" i="5" s="1"/>
  <c r="I84" i="3"/>
  <c r="D84" i="5" s="1"/>
  <c r="F83" i="4"/>
  <c r="G83" i="4" s="1"/>
  <c r="E84" i="5" s="1"/>
  <c r="BJ83" i="6"/>
  <c r="AX83" i="6" s="1"/>
  <c r="F84" i="4"/>
  <c r="G84" i="4" s="1"/>
  <c r="E85" i="5" s="1"/>
  <c r="I85" i="3"/>
  <c r="D85" i="5" s="1"/>
  <c r="BJ84" i="6"/>
  <c r="AX84" i="6" s="1"/>
  <c r="J17" i="3"/>
  <c r="D17" i="5"/>
  <c r="F17" i="5" s="1"/>
  <c r="BG16" i="6" s="1"/>
  <c r="BJ16" i="6"/>
  <c r="AX16" i="6" s="1"/>
  <c r="J16" i="3"/>
  <c r="BJ15" i="6"/>
  <c r="AX15" i="6" s="1"/>
  <c r="D16" i="5"/>
  <c r="F16" i="5" s="1"/>
  <c r="BG15" i="6" s="1"/>
  <c r="J15" i="3"/>
  <c r="BJ14" i="6"/>
  <c r="AX14" i="6" s="1"/>
  <c r="D15" i="5"/>
  <c r="F15" i="5" s="1"/>
  <c r="BG14" i="6" s="1"/>
  <c r="J14" i="3"/>
  <c r="BJ13" i="6"/>
  <c r="AX13" i="6" s="1"/>
  <c r="D14" i="5"/>
  <c r="F14" i="5" s="1"/>
  <c r="BG13" i="6" s="1"/>
  <c r="J12" i="3"/>
  <c r="D12" i="5"/>
  <c r="F12" i="5" s="1"/>
  <c r="BG11" i="6" s="1"/>
  <c r="BJ11" i="6"/>
  <c r="AX11" i="6" s="1"/>
  <c r="J11" i="3"/>
  <c r="BJ10" i="6"/>
  <c r="AX10" i="6" s="1"/>
  <c r="D11" i="5"/>
  <c r="F11" i="5" s="1"/>
  <c r="BG10" i="6" s="1"/>
  <c r="BJ9" i="6"/>
  <c r="AX9" i="6" s="1"/>
  <c r="I10" i="3"/>
  <c r="D10" i="5" s="1"/>
  <c r="F9" i="4"/>
  <c r="G9" i="4" s="1"/>
  <c r="E10" i="5" s="1"/>
  <c r="BJ8" i="6"/>
  <c r="AX8" i="6" s="1"/>
  <c r="I9" i="3"/>
  <c r="D9" i="5" s="1"/>
  <c r="F8" i="4"/>
  <c r="G8" i="4" s="1"/>
  <c r="E9" i="5" s="1"/>
  <c r="J8" i="3"/>
  <c r="BJ7" i="6"/>
  <c r="AX7" i="6" s="1"/>
  <c r="D8" i="5"/>
  <c r="F8" i="5" s="1"/>
  <c r="BG7" i="6" s="1"/>
  <c r="J7" i="3"/>
  <c r="BJ6" i="6"/>
  <c r="AX6" i="6" s="1"/>
  <c r="I7" i="3"/>
  <c r="D7" i="5" s="1"/>
  <c r="F6" i="4"/>
  <c r="G6" i="4" s="1"/>
  <c r="E7" i="5" s="1"/>
  <c r="BJ5" i="6"/>
  <c r="AX5" i="6" s="1"/>
  <c r="F5" i="4"/>
  <c r="G5" i="4" s="1"/>
  <c r="E6" i="5" s="1"/>
  <c r="I6" i="3"/>
  <c r="D6" i="5" s="1"/>
  <c r="G7" i="2"/>
  <c r="J69" i="3"/>
  <c r="J41" i="3"/>
  <c r="J65" i="3"/>
  <c r="J73" i="3"/>
  <c r="J24" i="3"/>
  <c r="J23" i="3"/>
  <c r="J45" i="3"/>
  <c r="J79" i="3"/>
  <c r="J62" i="3"/>
  <c r="J71" i="3"/>
  <c r="J76" i="3"/>
  <c r="J84" i="3"/>
  <c r="J66" i="3"/>
  <c r="J80" i="3"/>
  <c r="J32" i="3"/>
  <c r="J39" i="3"/>
  <c r="J40" i="3"/>
  <c r="J47" i="3"/>
  <c r="J55" i="3"/>
  <c r="J37" i="3"/>
  <c r="J28" i="3"/>
  <c r="J57" i="3"/>
  <c r="J74" i="3"/>
  <c r="J38" i="3"/>
  <c r="J61" i="3"/>
  <c r="J50" i="3"/>
  <c r="J85" i="3"/>
  <c r="J46" i="3"/>
  <c r="J10" i="3"/>
  <c r="J25" i="3"/>
  <c r="J9" i="3"/>
  <c r="J81" i="3"/>
  <c r="J59" i="3"/>
  <c r="J60" i="3"/>
  <c r="J26" i="3"/>
  <c r="J54" i="3"/>
  <c r="J78" i="3"/>
  <c r="J27" i="3"/>
  <c r="J29" i="3"/>
  <c r="J75" i="3"/>
  <c r="J68" i="3"/>
  <c r="J77" i="3"/>
  <c r="J67" i="3"/>
  <c r="J49" i="3"/>
  <c r="J83" i="3"/>
  <c r="J58" i="3"/>
  <c r="J51" i="3"/>
  <c r="J70" i="3"/>
  <c r="J43" i="3"/>
  <c r="J42" i="3"/>
  <c r="J52" i="3"/>
  <c r="J33" i="3"/>
  <c r="J30" i="3"/>
  <c r="J44" i="3"/>
  <c r="J53" i="3"/>
  <c r="J36" i="3"/>
  <c r="J35" i="3"/>
  <c r="J82" i="3"/>
  <c r="F54" i="5" l="1"/>
  <c r="BG53" i="6" s="1"/>
  <c r="F44" i="5"/>
  <c r="BG43" i="6" s="1"/>
  <c r="F34" i="5"/>
  <c r="BG33" i="6" s="1"/>
  <c r="F57" i="5"/>
  <c r="BG56" i="6" s="1"/>
  <c r="F29" i="5"/>
  <c r="BG28" i="6" s="1"/>
  <c r="F60" i="5"/>
  <c r="BG59" i="6" s="1"/>
  <c r="F23" i="5"/>
  <c r="BG22" i="6" s="1"/>
  <c r="F37" i="5"/>
  <c r="BG36" i="6" s="1"/>
  <c r="F31" i="2"/>
  <c r="BH22" i="6"/>
  <c r="BK22" i="6" s="1"/>
  <c r="BB22" i="6"/>
  <c r="F30" i="5"/>
  <c r="BG29" i="6" s="1"/>
  <c r="F38" i="5"/>
  <c r="BG37" i="6" s="1"/>
  <c r="F41" i="5"/>
  <c r="BG40" i="6" s="1"/>
  <c r="F31" i="5"/>
  <c r="BG30" i="6" s="1"/>
  <c r="F33" i="5"/>
  <c r="BG32" i="6" s="1"/>
  <c r="F50" i="5"/>
  <c r="BG49" i="6" s="1"/>
  <c r="F46" i="5"/>
  <c r="BG45" i="6" s="1"/>
  <c r="F22" i="5"/>
  <c r="BG21" i="6" s="1"/>
  <c r="F26" i="5"/>
  <c r="BG25" i="6" s="1"/>
  <c r="F56" i="5"/>
  <c r="BG55" i="6" s="1"/>
  <c r="F32" i="5"/>
  <c r="BG31" i="6" s="1"/>
  <c r="F43" i="5"/>
  <c r="BG42" i="6" s="1"/>
  <c r="F45" i="5"/>
  <c r="BG44" i="6" s="1"/>
  <c r="F24" i="5"/>
  <c r="BG23" i="6" s="1"/>
  <c r="F47" i="5"/>
  <c r="BG46" i="6" s="1"/>
  <c r="F59" i="5"/>
  <c r="BG58" i="6" s="1"/>
  <c r="F42" i="5"/>
  <c r="BG41" i="6" s="1"/>
  <c r="F27" i="5"/>
  <c r="BG26" i="6" s="1"/>
  <c r="F35" i="5"/>
  <c r="BG34" i="6" s="1"/>
  <c r="F51" i="5"/>
  <c r="BG50" i="6" s="1"/>
  <c r="F49" i="5"/>
  <c r="BG48" i="6" s="1"/>
  <c r="F58" i="5"/>
  <c r="BG57" i="6" s="1"/>
  <c r="F52" i="5"/>
  <c r="BG51" i="6" s="1"/>
  <c r="F39" i="5"/>
  <c r="BG38" i="6" s="1"/>
  <c r="F48" i="5"/>
  <c r="BG47" i="6" s="1"/>
  <c r="F67" i="5"/>
  <c r="BG66" i="6" s="1"/>
  <c r="F69" i="5"/>
  <c r="BG68" i="6" s="1"/>
  <c r="F55" i="5"/>
  <c r="BG54" i="6" s="1"/>
  <c r="F61" i="5"/>
  <c r="BG60" i="6" s="1"/>
  <c r="F62" i="5"/>
  <c r="BG61" i="6" s="1"/>
  <c r="F63" i="5"/>
  <c r="BG62" i="6" s="1"/>
  <c r="F64" i="5"/>
  <c r="BG63" i="6" s="1"/>
  <c r="F65" i="5"/>
  <c r="BG64" i="6" s="1"/>
  <c r="F66" i="5"/>
  <c r="BG65" i="6" s="1"/>
  <c r="F68" i="5"/>
  <c r="BG67" i="6" s="1"/>
  <c r="F70" i="5"/>
  <c r="BG69" i="6" s="1"/>
  <c r="P7" i="3"/>
  <c r="P8" i="3" s="1"/>
  <c r="F71" i="5"/>
  <c r="BG70" i="6" s="1"/>
  <c r="F72" i="5"/>
  <c r="BG71" i="6" s="1"/>
  <c r="F73" i="5"/>
  <c r="BG72" i="6" s="1"/>
  <c r="F74" i="5"/>
  <c r="BG73" i="6" s="1"/>
  <c r="F75" i="5"/>
  <c r="BG74" i="6" s="1"/>
  <c r="F76" i="5"/>
  <c r="BG75" i="6" s="1"/>
  <c r="F77" i="5"/>
  <c r="BG76" i="6" s="1"/>
  <c r="F78" i="5"/>
  <c r="BG77" i="6" s="1"/>
  <c r="F79" i="5"/>
  <c r="BG78" i="6" s="1"/>
  <c r="F80" i="5"/>
  <c r="BG79" i="6" s="1"/>
  <c r="F81" i="5"/>
  <c r="BG80" i="6" s="1"/>
  <c r="F82" i="5"/>
  <c r="BG81" i="6" s="1"/>
  <c r="F83" i="5"/>
  <c r="BG82" i="6" s="1"/>
  <c r="F84" i="5"/>
  <c r="BG83" i="6" s="1"/>
  <c r="F85" i="5"/>
  <c r="BG84" i="6" s="1"/>
  <c r="F10" i="5"/>
  <c r="BG9" i="6" s="1"/>
  <c r="F9" i="5"/>
  <c r="BG8" i="6" s="1"/>
  <c r="F7" i="5"/>
  <c r="BG6" i="6" s="1"/>
  <c r="F6" i="5"/>
  <c r="F32" i="2" l="1"/>
  <c r="BH23" i="6"/>
  <c r="BK23" i="6" s="1"/>
  <c r="BB23" i="6"/>
  <c r="BG5" i="6"/>
  <c r="G6" i="5"/>
  <c r="N5" i="5"/>
  <c r="F33" i="2" l="1"/>
  <c r="BB24" i="6"/>
  <c r="BH24" i="6"/>
  <c r="BK24" i="6" s="1"/>
  <c r="G7" i="5"/>
  <c r="H6" i="5"/>
  <c r="BA5" i="6"/>
  <c r="F34" i="2" l="1"/>
  <c r="BB25" i="6"/>
  <c r="BH25" i="6"/>
  <c r="BK25" i="6" s="1"/>
  <c r="BA6" i="6"/>
  <c r="H7" i="5"/>
  <c r="G8" i="5"/>
  <c r="F35" i="2" l="1"/>
  <c r="BH26" i="6"/>
  <c r="BK26" i="6" s="1"/>
  <c r="BB26" i="6"/>
  <c r="G9" i="5"/>
  <c r="BA7" i="6"/>
  <c r="H8" i="5"/>
  <c r="F36" i="2" l="1"/>
  <c r="BB27" i="6"/>
  <c r="BH27" i="6"/>
  <c r="BK27" i="6" s="1"/>
  <c r="G10" i="5"/>
  <c r="H9" i="5"/>
  <c r="BA8" i="6"/>
  <c r="F37" i="2" l="1"/>
  <c r="BH28" i="6"/>
  <c r="BK28" i="6" s="1"/>
  <c r="BB28" i="6"/>
  <c r="G11" i="5"/>
  <c r="H10" i="5"/>
  <c r="BA9" i="6"/>
  <c r="F38" i="2" l="1"/>
  <c r="BH29" i="6"/>
  <c r="BK29" i="6" s="1"/>
  <c r="BB29" i="6"/>
  <c r="G12" i="5"/>
  <c r="BA10" i="6"/>
  <c r="H11" i="5"/>
  <c r="F39" i="2" l="1"/>
  <c r="BH30" i="6"/>
  <c r="BK30" i="6" s="1"/>
  <c r="BB30" i="6"/>
  <c r="G13" i="5"/>
  <c r="BA11" i="6"/>
  <c r="H12" i="5"/>
  <c r="F40" i="2" l="1"/>
  <c r="BH31" i="6"/>
  <c r="BK31" i="6" s="1"/>
  <c r="BB31" i="6"/>
  <c r="G14" i="5"/>
  <c r="BA12" i="6"/>
  <c r="H13" i="5"/>
  <c r="F41" i="2" l="1"/>
  <c r="BB32" i="6"/>
  <c r="BH32" i="6"/>
  <c r="BK32" i="6" s="1"/>
  <c r="G15" i="5"/>
  <c r="BA13" i="6"/>
  <c r="H14" i="5"/>
  <c r="F42" i="2" l="1"/>
  <c r="BB33" i="6"/>
  <c r="BH33" i="6"/>
  <c r="BK33" i="6" s="1"/>
  <c r="G16" i="5"/>
  <c r="BA14" i="6"/>
  <c r="H15" i="5"/>
  <c r="F43" i="2" l="1"/>
  <c r="BH34" i="6"/>
  <c r="BK34" i="6" s="1"/>
  <c r="BB34" i="6"/>
  <c r="G17" i="5"/>
  <c r="BA15" i="6"/>
  <c r="H16" i="5"/>
  <c r="F44" i="2" l="1"/>
  <c r="BB35" i="6"/>
  <c r="BH35" i="6"/>
  <c r="BK35" i="6" s="1"/>
  <c r="G18" i="5"/>
  <c r="H17" i="5"/>
  <c r="BA16" i="6"/>
  <c r="F45" i="2" l="1"/>
  <c r="BH36" i="6"/>
  <c r="BK36" i="6" s="1"/>
  <c r="BB36" i="6"/>
  <c r="G19" i="5"/>
  <c r="H18" i="5"/>
  <c r="BA17" i="6"/>
  <c r="F46" i="2" l="1"/>
  <c r="BH37" i="6"/>
  <c r="BK37" i="6" s="1"/>
  <c r="BB37" i="6"/>
  <c r="G20" i="5"/>
  <c r="BA18" i="6"/>
  <c r="H19" i="5"/>
  <c r="F47" i="2" l="1"/>
  <c r="BH38" i="6"/>
  <c r="BK38" i="6" s="1"/>
  <c r="BB38" i="6"/>
  <c r="G21" i="5"/>
  <c r="BA19" i="6"/>
  <c r="H20" i="5"/>
  <c r="F48" i="2" l="1"/>
  <c r="BH39" i="6"/>
  <c r="BK39" i="6" s="1"/>
  <c r="BB39" i="6"/>
  <c r="G22" i="5"/>
  <c r="BA20" i="6"/>
  <c r="H21" i="5"/>
  <c r="F49" i="2" l="1"/>
  <c r="BB40" i="6"/>
  <c r="BH40" i="6"/>
  <c r="BK40" i="6" s="1"/>
  <c r="G23" i="5"/>
  <c r="H22" i="5"/>
  <c r="BA21" i="6"/>
  <c r="F50" i="2" l="1"/>
  <c r="BB41" i="6"/>
  <c r="BH41" i="6"/>
  <c r="BK41" i="6" s="1"/>
  <c r="G24" i="5"/>
  <c r="BA22" i="6"/>
  <c r="H23" i="5"/>
  <c r="F51" i="2" l="1"/>
  <c r="BH42" i="6"/>
  <c r="BK42" i="6" s="1"/>
  <c r="BB42" i="6"/>
  <c r="G25" i="5"/>
  <c r="BA23" i="6"/>
  <c r="H24" i="5"/>
  <c r="F52" i="2" l="1"/>
  <c r="BB43" i="6"/>
  <c r="BH43" i="6"/>
  <c r="BK43" i="6" s="1"/>
  <c r="G26" i="5"/>
  <c r="H25" i="5"/>
  <c r="BA24" i="6"/>
  <c r="F53" i="2" l="1"/>
  <c r="BH44" i="6"/>
  <c r="BK44" i="6" s="1"/>
  <c r="BB44" i="6"/>
  <c r="G27" i="5"/>
  <c r="H26" i="5"/>
  <c r="BA25" i="6"/>
  <c r="F54" i="2" l="1"/>
  <c r="BH45" i="6"/>
  <c r="BK45" i="6" s="1"/>
  <c r="BB45" i="6"/>
  <c r="G28" i="5"/>
  <c r="BA26" i="6"/>
  <c r="H27" i="5"/>
  <c r="F55" i="2" l="1"/>
  <c r="BH46" i="6"/>
  <c r="BK46" i="6" s="1"/>
  <c r="BB46" i="6"/>
  <c r="G29" i="5"/>
  <c r="BA27" i="6"/>
  <c r="H28" i="5"/>
  <c r="F56" i="2" l="1"/>
  <c r="BH47" i="6"/>
  <c r="BK47" i="6" s="1"/>
  <c r="BB47" i="6"/>
  <c r="G30" i="5"/>
  <c r="BA28" i="6"/>
  <c r="H29" i="5"/>
  <c r="F57" i="2" l="1"/>
  <c r="BB48" i="6"/>
  <c r="BH48" i="6"/>
  <c r="BK48" i="6" s="1"/>
  <c r="G31" i="5"/>
  <c r="H30" i="5"/>
  <c r="BA29" i="6"/>
  <c r="F58" i="2" l="1"/>
  <c r="BB49" i="6"/>
  <c r="BH49" i="6"/>
  <c r="BK49" i="6" s="1"/>
  <c r="G32" i="5"/>
  <c r="BA30" i="6"/>
  <c r="H31" i="5"/>
  <c r="F59" i="2" l="1"/>
  <c r="BH50" i="6"/>
  <c r="BK50" i="6" s="1"/>
  <c r="BB50" i="6"/>
  <c r="G33" i="5"/>
  <c r="BA31" i="6"/>
  <c r="H32" i="5"/>
  <c r="F60" i="2" l="1"/>
  <c r="BB51" i="6"/>
  <c r="BH51" i="6"/>
  <c r="BK51" i="6" s="1"/>
  <c r="G34" i="5"/>
  <c r="H33" i="5"/>
  <c r="BA32" i="6"/>
  <c r="F61" i="2" l="1"/>
  <c r="BH52" i="6"/>
  <c r="BK52" i="6" s="1"/>
  <c r="BB52" i="6"/>
  <c r="G35" i="5"/>
  <c r="H34" i="5"/>
  <c r="BA33" i="6"/>
  <c r="F62" i="2" l="1"/>
  <c r="BH53" i="6"/>
  <c r="BK53" i="6" s="1"/>
  <c r="BB53" i="6"/>
  <c r="G36" i="5"/>
  <c r="BA34" i="6"/>
  <c r="H35" i="5"/>
  <c r="F63" i="2" l="1"/>
  <c r="BH54" i="6"/>
  <c r="BK54" i="6" s="1"/>
  <c r="BB54" i="6"/>
  <c r="G37" i="5"/>
  <c r="BA35" i="6"/>
  <c r="H36" i="5"/>
  <c r="F64" i="2" l="1"/>
  <c r="BH55" i="6"/>
  <c r="BK55" i="6" s="1"/>
  <c r="BB55" i="6"/>
  <c r="G38" i="5"/>
  <c r="BA36" i="6"/>
  <c r="H37" i="5"/>
  <c r="F65" i="2" l="1"/>
  <c r="BB56" i="6"/>
  <c r="BH56" i="6"/>
  <c r="BK56" i="6" s="1"/>
  <c r="G39" i="5"/>
  <c r="H38" i="5"/>
  <c r="BA37" i="6"/>
  <c r="F66" i="2" l="1"/>
  <c r="BB57" i="6"/>
  <c r="BH57" i="6"/>
  <c r="BK57" i="6" s="1"/>
  <c r="G40" i="5"/>
  <c r="BA38" i="6"/>
  <c r="H39" i="5"/>
  <c r="F67" i="2" l="1"/>
  <c r="BH58" i="6"/>
  <c r="BK58" i="6" s="1"/>
  <c r="BB58" i="6"/>
  <c r="G41" i="5"/>
  <c r="H40" i="5"/>
  <c r="BA39" i="6"/>
  <c r="F68" i="2" l="1"/>
  <c r="BB59" i="6"/>
  <c r="BH59" i="6"/>
  <c r="BK59" i="6" s="1"/>
  <c r="G42" i="5"/>
  <c r="H41" i="5"/>
  <c r="BA40" i="6"/>
  <c r="F69" i="2" l="1"/>
  <c r="BH60" i="6"/>
  <c r="BK60" i="6" s="1"/>
  <c r="BB60" i="6"/>
  <c r="G43" i="5"/>
  <c r="H42" i="5"/>
  <c r="BA41" i="6"/>
  <c r="F70" i="2" l="1"/>
  <c r="BH61" i="6"/>
  <c r="BK61" i="6" s="1"/>
  <c r="BB61" i="6"/>
  <c r="G44" i="5"/>
  <c r="BA42" i="6"/>
  <c r="H43" i="5"/>
  <c r="F71" i="2" l="1"/>
  <c r="BH62" i="6"/>
  <c r="BK62" i="6" s="1"/>
  <c r="BB62" i="6"/>
  <c r="G45" i="5"/>
  <c r="BA43" i="6"/>
  <c r="H44" i="5"/>
  <c r="F72" i="2" l="1"/>
  <c r="BH63" i="6"/>
  <c r="BK63" i="6" s="1"/>
  <c r="BB63" i="6"/>
  <c r="G46" i="5"/>
  <c r="BA44" i="6"/>
  <c r="H45" i="5"/>
  <c r="F73" i="2" l="1"/>
  <c r="BB64" i="6"/>
  <c r="BH64" i="6"/>
  <c r="BK64" i="6" s="1"/>
  <c r="G47" i="5"/>
  <c r="H46" i="5"/>
  <c r="BA45" i="6"/>
  <c r="F74" i="2" l="1"/>
  <c r="BB65" i="6"/>
  <c r="BH65" i="6"/>
  <c r="BK65" i="6" s="1"/>
  <c r="G48" i="5"/>
  <c r="BA46" i="6"/>
  <c r="H47" i="5"/>
  <c r="F75" i="2" l="1"/>
  <c r="BH66" i="6"/>
  <c r="BK66" i="6" s="1"/>
  <c r="BB66" i="6"/>
  <c r="G49" i="5"/>
  <c r="BA47" i="6"/>
  <c r="H48" i="5"/>
  <c r="F76" i="2" l="1"/>
  <c r="BB67" i="6"/>
  <c r="BH67" i="6"/>
  <c r="BK67" i="6" s="1"/>
  <c r="G50" i="5"/>
  <c r="H49" i="5"/>
  <c r="BA48" i="6"/>
  <c r="F77" i="2" l="1"/>
  <c r="BH68" i="6"/>
  <c r="BK68" i="6" s="1"/>
  <c r="BB68" i="6"/>
  <c r="G51" i="5"/>
  <c r="H50" i="5"/>
  <c r="BA49" i="6"/>
  <c r="F78" i="2" l="1"/>
  <c r="BB69" i="6"/>
  <c r="BH69" i="6"/>
  <c r="BK69" i="6" s="1"/>
  <c r="G52" i="5"/>
  <c r="BA50" i="6"/>
  <c r="H51" i="5"/>
  <c r="F79" i="2" l="1"/>
  <c r="BH70" i="6"/>
  <c r="BK70" i="6" s="1"/>
  <c r="BB70" i="6"/>
  <c r="G53" i="5"/>
  <c r="BA51" i="6"/>
  <c r="H52" i="5"/>
  <c r="F80" i="2" l="1"/>
  <c r="BH71" i="6"/>
  <c r="BK71" i="6" s="1"/>
  <c r="BB71" i="6"/>
  <c r="G54" i="5"/>
  <c r="BA52" i="6"/>
  <c r="H53" i="5"/>
  <c r="F81" i="2" l="1"/>
  <c r="BB72" i="6"/>
  <c r="BH72" i="6"/>
  <c r="BK72" i="6" s="1"/>
  <c r="G55" i="5"/>
  <c r="H54" i="5"/>
  <c r="BA53" i="6"/>
  <c r="F82" i="2" l="1"/>
  <c r="BB73" i="6"/>
  <c r="BH73" i="6"/>
  <c r="BK73" i="6" s="1"/>
  <c r="G56" i="5"/>
  <c r="BA54" i="6"/>
  <c r="H55" i="5"/>
  <c r="F83" i="2" l="1"/>
  <c r="BH74" i="6"/>
  <c r="BK74" i="6" s="1"/>
  <c r="BB74" i="6"/>
  <c r="G57" i="5"/>
  <c r="BA55" i="6"/>
  <c r="H56" i="5"/>
  <c r="F84" i="2" l="1"/>
  <c r="BB75" i="6"/>
  <c r="BH75" i="6"/>
  <c r="BK75" i="6" s="1"/>
  <c r="G58" i="5"/>
  <c r="H57" i="5"/>
  <c r="BA56" i="6"/>
  <c r="F85" i="2" l="1"/>
  <c r="BH76" i="6"/>
  <c r="BK76" i="6" s="1"/>
  <c r="BB76" i="6"/>
  <c r="G59" i="5"/>
  <c r="H58" i="5"/>
  <c r="BA57" i="6"/>
  <c r="F86" i="2" l="1"/>
  <c r="BH77" i="6"/>
  <c r="BK77" i="6" s="1"/>
  <c r="BB77" i="6"/>
  <c r="G60" i="5"/>
  <c r="BA58" i="6"/>
  <c r="H59" i="5"/>
  <c r="F87" i="2" l="1"/>
  <c r="BB78" i="6"/>
  <c r="BH78" i="6"/>
  <c r="BK78" i="6" s="1"/>
  <c r="G61" i="5"/>
  <c r="BA59" i="6"/>
  <c r="H60" i="5"/>
  <c r="F88" i="2" l="1"/>
  <c r="BH79" i="6"/>
  <c r="BK79" i="6" s="1"/>
  <c r="BB79" i="6"/>
  <c r="G62" i="5"/>
  <c r="BA60" i="6"/>
  <c r="H61" i="5"/>
  <c r="F89" i="2" l="1"/>
  <c r="BB80" i="6"/>
  <c r="BH80" i="6"/>
  <c r="BK80" i="6" s="1"/>
  <c r="G63" i="5"/>
  <c r="H62" i="5"/>
  <c r="BA61" i="6"/>
  <c r="F90" i="2" l="1"/>
  <c r="BB81" i="6"/>
  <c r="BH81" i="6"/>
  <c r="BK81" i="6" s="1"/>
  <c r="G64" i="5"/>
  <c r="BA62" i="6"/>
  <c r="H63" i="5"/>
  <c r="F91" i="2" l="1"/>
  <c r="BH82" i="6"/>
  <c r="BK82" i="6" s="1"/>
  <c r="BB82" i="6"/>
  <c r="G65" i="5"/>
  <c r="BA63" i="6"/>
  <c r="H64" i="5"/>
  <c r="F92" i="2" l="1"/>
  <c r="BB83" i="6"/>
  <c r="BH83" i="6"/>
  <c r="BK83" i="6" s="1"/>
  <c r="G66" i="5"/>
  <c r="H65" i="5"/>
  <c r="BA64" i="6"/>
  <c r="BH84" i="6" l="1"/>
  <c r="BK84" i="6" s="1"/>
  <c r="BB84" i="6"/>
  <c r="G8" i="2"/>
  <c r="G67" i="5"/>
  <c r="H66" i="5"/>
  <c r="BA65" i="6"/>
  <c r="G68" i="5" l="1"/>
  <c r="BA66" i="6"/>
  <c r="H67" i="5"/>
  <c r="G69" i="5" l="1"/>
  <c r="BA67" i="6"/>
  <c r="H68" i="5"/>
  <c r="G70" i="5" l="1"/>
  <c r="BA68" i="6"/>
  <c r="H69" i="5"/>
  <c r="G71" i="5" l="1"/>
  <c r="H70" i="5"/>
  <c r="BA69" i="6"/>
  <c r="G72" i="5" l="1"/>
  <c r="BA70" i="6"/>
  <c r="H71" i="5"/>
  <c r="G73" i="5" l="1"/>
  <c r="BA71" i="6"/>
  <c r="H72" i="5"/>
  <c r="G74" i="5" l="1"/>
  <c r="H73" i="5"/>
  <c r="BA72" i="6"/>
  <c r="G75" i="5" l="1"/>
  <c r="H74" i="5"/>
  <c r="BA73" i="6"/>
  <c r="G76" i="5" l="1"/>
  <c r="BA74" i="6"/>
  <c r="H75" i="5"/>
  <c r="G77" i="5" l="1"/>
  <c r="BA75" i="6"/>
  <c r="H76" i="5"/>
  <c r="G78" i="5" l="1"/>
  <c r="BA76" i="6"/>
  <c r="H77" i="5"/>
  <c r="G79" i="5" l="1"/>
  <c r="H78" i="5"/>
  <c r="BA77" i="6"/>
  <c r="G80" i="5" l="1"/>
  <c r="BA78" i="6"/>
  <c r="H79" i="5"/>
  <c r="G81" i="5" l="1"/>
  <c r="BA79" i="6"/>
  <c r="H80" i="5"/>
  <c r="G82" i="5" l="1"/>
  <c r="H81" i="5"/>
  <c r="BA80" i="6"/>
  <c r="G83" i="5" l="1"/>
  <c r="H82" i="5"/>
  <c r="BA81" i="6"/>
  <c r="G84" i="5" l="1"/>
  <c r="BA82" i="6"/>
  <c r="H83" i="5"/>
  <c r="G85" i="5" l="1"/>
  <c r="BA83" i="6"/>
  <c r="H84" i="5"/>
  <c r="BA84" i="6" l="1"/>
  <c r="H85" i="5"/>
  <c r="N6" i="5" s="1"/>
</calcChain>
</file>

<file path=xl/sharedStrings.xml><?xml version="1.0" encoding="utf-8"?>
<sst xmlns="http://schemas.openxmlformats.org/spreadsheetml/2006/main" count="110" uniqueCount="82">
  <si>
    <t>Parámetro</t>
  </si>
  <si>
    <t>Valor</t>
  </si>
  <si>
    <t>Crr</t>
  </si>
  <si>
    <t>Símbolo</t>
  </si>
  <si>
    <t>Unidad</t>
  </si>
  <si>
    <t>Masa total</t>
  </si>
  <si>
    <t>m</t>
  </si>
  <si>
    <t>CdA</t>
  </si>
  <si>
    <t>m²</t>
  </si>
  <si>
    <t>-</t>
  </si>
  <si>
    <t>Densidad aire</t>
  </si>
  <si>
    <t>ρ</t>
  </si>
  <si>
    <t>kg/m³</t>
  </si>
  <si>
    <t>Gravedad</t>
  </si>
  <si>
    <t>g</t>
  </si>
  <si>
    <t>m/s²</t>
  </si>
  <si>
    <t>Eficiencia drivetrain</t>
  </si>
  <si>
    <t>η</t>
  </si>
  <si>
    <t>%</t>
  </si>
  <si>
    <t>Capacidad batería</t>
  </si>
  <si>
    <t>E_batt</t>
  </si>
  <si>
    <t>Wh</t>
  </si>
  <si>
    <t>Área panel</t>
  </si>
  <si>
    <t>A_panel</t>
  </si>
  <si>
    <t>Eficiencia panel</t>
  </si>
  <si>
    <t>η_panel</t>
  </si>
  <si>
    <t>Cd</t>
  </si>
  <si>
    <t>Area Frontal</t>
  </si>
  <si>
    <t>m^2</t>
  </si>
  <si>
    <t>Recta</t>
  </si>
  <si>
    <t>Curva #1</t>
  </si>
  <si>
    <t>Curva #2</t>
  </si>
  <si>
    <t>Curva #3</t>
  </si>
  <si>
    <t>Curva #4</t>
  </si>
  <si>
    <t>Recta Pequeña</t>
  </si>
  <si>
    <t>Curva #5</t>
  </si>
  <si>
    <t>Curva #6</t>
  </si>
  <si>
    <t>Curva #7</t>
  </si>
  <si>
    <t>Curva #8</t>
  </si>
  <si>
    <t>Curva #9</t>
  </si>
  <si>
    <t>Recta Larga</t>
  </si>
  <si>
    <t>Curva #10</t>
  </si>
  <si>
    <t>Energía consumida (Wh)</t>
  </si>
  <si>
    <t>kg</t>
  </si>
  <si>
    <t>Motor Power</t>
  </si>
  <si>
    <t>Segment</t>
  </si>
  <si>
    <t>Type</t>
  </si>
  <si>
    <t>Distance (mi)</t>
  </si>
  <si>
    <t>Acummulated</t>
  </si>
  <si>
    <t>Grade (%)</t>
  </si>
  <si>
    <t>Expected Velocity (mph)</t>
  </si>
  <si>
    <t>Irradiance (W/m²)</t>
  </si>
  <si>
    <t>Distance (m)</t>
  </si>
  <si>
    <t>Velocity (m/s)</t>
  </si>
  <si>
    <t>Time (s)</t>
  </si>
  <si>
    <t>Drag Force</t>
  </si>
  <si>
    <t>Grade Force</t>
  </si>
  <si>
    <t>Rolling Force</t>
  </si>
  <si>
    <t>Total Force(N)</t>
  </si>
  <si>
    <t xml:space="preserve">Motor Force </t>
  </si>
  <si>
    <t>Irradiance</t>
  </si>
  <si>
    <t>Solar Power</t>
  </si>
  <si>
    <t>Time</t>
  </si>
  <si>
    <t>Solar energy</t>
  </si>
  <si>
    <t>Motor Energy</t>
  </si>
  <si>
    <t>Solar Energy</t>
  </si>
  <si>
    <t>Delta Energy</t>
  </si>
  <si>
    <t>Battery Level</t>
  </si>
  <si>
    <t>Energía Consumida por vuellta</t>
  </si>
  <si>
    <t>Drainage from battery per lap</t>
  </si>
  <si>
    <t>Battery %</t>
  </si>
  <si>
    <t>Battery % After one lap</t>
  </si>
  <si>
    <t>Battery vs Distance</t>
  </si>
  <si>
    <t>Total Distance</t>
  </si>
  <si>
    <t>MIN</t>
  </si>
  <si>
    <t>Total TIME</t>
  </si>
  <si>
    <t>miles</t>
  </si>
  <si>
    <t>Cantidad de Vueltas</t>
  </si>
  <si>
    <t xml:space="preserve">Carga Inicial Bateria </t>
  </si>
  <si>
    <t>Carga Final Bateria</t>
  </si>
  <si>
    <t>SOC</t>
  </si>
  <si>
    <t>Potencia del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</si>
</sst>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2"/>
      <color theme="1"/>
      <name val="Aptos Narrow"/>
      <family val="2"/>
      <scheme val="minor"/>
    </font>
    <font>
      <b/>
      <sz val="12"/>
      <color theme="1"/>
      <name val="Lora Regular"/>
    </font>
    <font>
      <sz val="12"/>
      <color theme="1"/>
      <name val="Lora Regula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Lora Regula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/>
    <xf numFmtId="0" fontId="0" fillId="0" borderId="1" xfId="0" applyBorder="1"/>
    <xf numFmtId="0" fontId="0" fillId="0" borderId="8" xfId="0" applyBorder="1"/>
    <xf numFmtId="0" fontId="2" fillId="0" borderId="8" xfId="1" applyNumberFormat="1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0" fontId="2" fillId="0" borderId="5" xfId="1" applyNumberFormat="1" applyFont="1" applyBorder="1" applyAlignment="1">
      <alignment horizontal="center"/>
    </xf>
    <xf numFmtId="0" fontId="0" fillId="0" borderId="5" xfId="0" applyBorder="1"/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4" fillId="3" borderId="11" xfId="0" applyFont="1" applyFill="1" applyBorder="1"/>
    <xf numFmtId="0" fontId="2" fillId="3" borderId="0" xfId="0" applyFont="1" applyFill="1"/>
    <xf numFmtId="0" fontId="2" fillId="0" borderId="14" xfId="0" applyFont="1" applyBorder="1"/>
    <xf numFmtId="0" fontId="4" fillId="3" borderId="15" xfId="0" applyFont="1" applyFill="1" applyBorder="1"/>
    <xf numFmtId="0" fontId="2" fillId="0" borderId="13" xfId="0" applyFont="1" applyBorder="1"/>
    <xf numFmtId="0" fontId="1" fillId="3" borderId="15" xfId="0" applyFont="1" applyFill="1" applyBorder="1"/>
    <xf numFmtId="0" fontId="1" fillId="3" borderId="1" xfId="0" applyFont="1" applyFill="1" applyBorder="1"/>
    <xf numFmtId="0" fontId="4" fillId="3" borderId="1" xfId="0" applyFont="1" applyFill="1" applyBorder="1"/>
    <xf numFmtId="0" fontId="4" fillId="3" borderId="16" xfId="0" applyFont="1" applyFill="1" applyBorder="1"/>
    <xf numFmtId="0" fontId="1" fillId="3" borderId="10" xfId="0" applyFont="1" applyFill="1" applyBorder="1"/>
    <xf numFmtId="0" fontId="4" fillId="3" borderId="12" xfId="0" applyFont="1" applyFill="1" applyBorder="1"/>
    <xf numFmtId="0" fontId="1" fillId="3" borderId="12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0" borderId="1" xfId="0" applyFont="1" applyBorder="1"/>
    <xf numFmtId="164" fontId="2" fillId="0" borderId="0" xfId="1" applyNumberFormat="1" applyFont="1"/>
    <xf numFmtId="164" fontId="1" fillId="3" borderId="1" xfId="1" applyNumberFormat="1" applyFont="1" applyFill="1" applyBorder="1"/>
    <xf numFmtId="164" fontId="2" fillId="0" borderId="0" xfId="0" applyNumberFormat="1" applyFont="1"/>
    <xf numFmtId="164" fontId="2" fillId="0" borderId="1" xfId="1" applyNumberFormat="1" applyFont="1" applyBorder="1"/>
    <xf numFmtId="0" fontId="5" fillId="0" borderId="0" xfId="0" applyFont="1"/>
    <xf numFmtId="9" fontId="2" fillId="0" borderId="0" xfId="1" applyFont="1" applyBorder="1" applyAlignment="1"/>
    <xf numFmtId="9" fontId="2" fillId="0" borderId="0" xfId="0" applyNumberFormat="1" applyFont="1"/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</a:t>
            </a:r>
            <a:r>
              <a:rPr lang="en-US" baseline="0"/>
              <a:t> Vs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Dashboard!$BA$4</c:f>
              <c:strCache>
                <c:ptCount val="1"/>
                <c:pt idx="0">
                  <c:v>Battery Level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Dashboard!$BA$5:$BA$84</c:f>
              <c:numCache>
                <c:formatCode>General</c:formatCode>
                <c:ptCount val="80"/>
                <c:pt idx="0">
                  <c:v>5397.2063566275583</c:v>
                </c:pt>
                <c:pt idx="1">
                  <c:v>5396.2862263453617</c:v>
                </c:pt>
                <c:pt idx="2">
                  <c:v>5395.6938757617418</c:v>
                </c:pt>
                <c:pt idx="3">
                  <c:v>5394.3009868394338</c:v>
                </c:pt>
                <c:pt idx="4">
                  <c:v>5393.5659743367132</c:v>
                </c:pt>
                <c:pt idx="5">
                  <c:v>5392.6320412623136</c:v>
                </c:pt>
                <c:pt idx="6">
                  <c:v>5391.3002670445558</c:v>
                </c:pt>
                <c:pt idx="7">
                  <c:v>5390.2935011380278</c:v>
                </c:pt>
                <c:pt idx="8">
                  <c:v>5389.6106123738509</c:v>
                </c:pt>
                <c:pt idx="9">
                  <c:v>5388.802767039002</c:v>
                </c:pt>
                <c:pt idx="10">
                  <c:v>5388.4093370270612</c:v>
                </c:pt>
                <c:pt idx="11">
                  <c:v>5386.5690764626688</c:v>
                </c:pt>
                <c:pt idx="12">
                  <c:v>5386.1590722711771</c:v>
                </c:pt>
                <c:pt idx="13">
                  <c:v>5385.9977678368368</c:v>
                </c:pt>
                <c:pt idx="14">
                  <c:v>5385.4386222591393</c:v>
                </c:pt>
                <c:pt idx="15">
                  <c:v>5383.6139391158304</c:v>
                </c:pt>
                <c:pt idx="16">
                  <c:v>5380.2419742719376</c:v>
                </c:pt>
                <c:pt idx="17">
                  <c:v>5379.5285532719618</c:v>
                </c:pt>
                <c:pt idx="18">
                  <c:v>5369.6235520603368</c:v>
                </c:pt>
                <c:pt idx="19">
                  <c:v>5368.5513179482004</c:v>
                </c:pt>
                <c:pt idx="20">
                  <c:v>5367.1964900837875</c:v>
                </c:pt>
                <c:pt idx="21">
                  <c:v>5366.0405827910536</c:v>
                </c:pt>
                <c:pt idx="22">
                  <c:v>5365.1282412193996</c:v>
                </c:pt>
                <c:pt idx="23">
                  <c:v>5363.7794552818423</c:v>
                </c:pt>
                <c:pt idx="24">
                  <c:v>5346.4457031614984</c:v>
                </c:pt>
                <c:pt idx="25">
                  <c:v>5342.2670363945754</c:v>
                </c:pt>
                <c:pt idx="26">
                  <c:v>5319.9807836684186</c:v>
                </c:pt>
                <c:pt idx="27">
                  <c:v>5315.3378205940598</c:v>
                </c:pt>
                <c:pt idx="28">
                  <c:v>5311.1591538271368</c:v>
                </c:pt>
                <c:pt idx="29">
                  <c:v>5303.5784923333722</c:v>
                </c:pt>
                <c:pt idx="30">
                  <c:v>5300.3284181813206</c:v>
                </c:pt>
                <c:pt idx="31">
                  <c:v>5282.9946660609767</c:v>
                </c:pt>
                <c:pt idx="32">
                  <c:v>5279.744591908925</c:v>
                </c:pt>
                <c:pt idx="33">
                  <c:v>5276.95881406431</c:v>
                </c:pt>
                <c:pt idx="34">
                  <c:v>5269.4531752793564</c:v>
                </c:pt>
                <c:pt idx="35">
                  <c:v>5268.3419131360233</c:v>
                </c:pt>
                <c:pt idx="36">
                  <c:v>5264.8741912578207</c:v>
                </c:pt>
                <c:pt idx="37">
                  <c:v>5264.227454123501</c:v>
                </c:pt>
                <c:pt idx="38">
                  <c:v>5263.2704674024453</c:v>
                </c:pt>
                <c:pt idx="39">
                  <c:v>5262.0104888082942</c:v>
                </c:pt>
                <c:pt idx="40">
                  <c:v>5261.0535020872385</c:v>
                </c:pt>
                <c:pt idx="41">
                  <c:v>5259.2288189439296</c:v>
                </c:pt>
                <c:pt idx="42">
                  <c:v>5248.0856925808512</c:v>
                </c:pt>
                <c:pt idx="43">
                  <c:v>5247.2008068513751</c:v>
                </c:pt>
                <c:pt idx="44">
                  <c:v>5224.9145541252183</c:v>
                </c:pt>
                <c:pt idx="45">
                  <c:v>5223.5597262608053</c:v>
                </c:pt>
                <c:pt idx="46">
                  <c:v>5221.3372019741391</c:v>
                </c:pt>
                <c:pt idx="47">
                  <c:v>5220.2649678620028</c:v>
                </c:pt>
                <c:pt idx="48">
                  <c:v>5215.6220047876441</c:v>
                </c:pt>
                <c:pt idx="49">
                  <c:v>5214.3838796361906</c:v>
                </c:pt>
                <c:pt idx="50">
                  <c:v>5213.1127249523752</c:v>
                </c:pt>
                <c:pt idx="51">
                  <c:v>5209.1821768073396</c:v>
                </c:pt>
                <c:pt idx="52">
                  <c:v>5208.1099426952032</c:v>
                </c:pt>
                <c:pt idx="53">
                  <c:v>5206.8272158223699</c:v>
                </c:pt>
                <c:pt idx="54">
                  <c:v>5205.9869318142746</c:v>
                </c:pt>
                <c:pt idx="55">
                  <c:v>5205.0745902426206</c:v>
                </c:pt>
                <c:pt idx="56">
                  <c:v>5203.6851892765435</c:v>
                </c:pt>
                <c:pt idx="57">
                  <c:v>5196.3864567033088</c:v>
                </c:pt>
                <c:pt idx="58">
                  <c:v>5195.2305494105749</c:v>
                </c:pt>
                <c:pt idx="59">
                  <c:v>5194.7465812180762</c:v>
                </c:pt>
                <c:pt idx="60">
                  <c:v>5183.3755889774293</c:v>
                </c:pt>
                <c:pt idx="61">
                  <c:v>5182.342139237162</c:v>
                </c:pt>
                <c:pt idx="62">
                  <c:v>5180.6341153787926</c:v>
                </c:pt>
                <c:pt idx="63">
                  <c:v>5178.6509957333528</c:v>
                </c:pt>
                <c:pt idx="64">
                  <c:v>5177.7042561634989</c:v>
                </c:pt>
                <c:pt idx="65">
                  <c:v>5166.333263922852</c:v>
                </c:pt>
                <c:pt idx="66">
                  <c:v>5166.2471368737115</c:v>
                </c:pt>
                <c:pt idx="67">
                  <c:v>5165.427128490729</c:v>
                </c:pt>
                <c:pt idx="68">
                  <c:v>5164.7639116116143</c:v>
                </c:pt>
                <c:pt idx="69">
                  <c:v>5161.8790727695441</c:v>
                </c:pt>
                <c:pt idx="70">
                  <c:v>5162.0229463335891</c:v>
                </c:pt>
                <c:pt idx="71">
                  <c:v>5162.3250082402392</c:v>
                </c:pt>
                <c:pt idx="72">
                  <c:v>5161.7491288287465</c:v>
                </c:pt>
                <c:pt idx="73">
                  <c:v>5161.6404140582154</c:v>
                </c:pt>
                <c:pt idx="74">
                  <c:v>5162.7186308898526</c:v>
                </c:pt>
                <c:pt idx="75">
                  <c:v>5162.8088366909997</c:v>
                </c:pt>
                <c:pt idx="76">
                  <c:v>5162.3631059292884</c:v>
                </c:pt>
                <c:pt idx="77">
                  <c:v>5162.2466620897976</c:v>
                </c:pt>
                <c:pt idx="78">
                  <c:v>5162.4594446441661</c:v>
                </c:pt>
                <c:pt idx="79">
                  <c:v>5161.2950062492582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4-5640-9003-CDF79C222D51}"/>
            </c:ext>
          </c:extLst>
        </c:ser>
        <c:ser>
          <c:idx val="1"/>
          <c:order val="1"/>
          <c:tx>
            <c:strRef>
              <c:f>Dashboard!$BB$4</c:f>
              <c:strCache>
                <c:ptCount val="1"/>
                <c:pt idx="0">
                  <c:v>Acummulated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Dashboard!$BB$5:$BB$84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94-5640-9003-CDF79C222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244752"/>
        <c:axId val="1712999952"/>
      </c:lineChart>
      <c:catAx>
        <c:axId val="192824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712999952"/>
        <c:crosses val="autoZero"/>
        <c:auto val="1"/>
        <c:lblAlgn val="ctr"/>
        <c:lblOffset val="100"/>
        <c:noMultiLvlLbl val="0"/>
      </c:catAx>
      <c:valAx>
        <c:axId val="17129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92824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Solar</a:t>
            </a:r>
            <a:r>
              <a:rPr lang="en-US" baseline="0"/>
              <a:t> Power Vs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Dashboard!$BB$4</c:f>
              <c:strCache>
                <c:ptCount val="1"/>
                <c:pt idx="0">
                  <c:v>Acummulated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Dashboard!$BB$5:$BB$84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B-0F48-9A96-81F2A185AF96}"/>
            </c:ext>
          </c:extLst>
        </c:ser>
        <c:ser>
          <c:idx val="3"/>
          <c:order val="3"/>
          <c:tx>
            <c:strRef>
              <c:f>Dashboard!$BE$4</c:f>
              <c:strCache>
                <c:ptCount val="1"/>
                <c:pt idx="0">
                  <c:v>Solar Power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Dashboard!$BE$5:$BE$84</c:f>
              <c:numCache>
                <c:formatCode>General</c:formatCode>
                <c:ptCount val="80"/>
                <c:pt idx="0">
                  <c:v>1182.588</c:v>
                </c:pt>
                <c:pt idx="1">
                  <c:v>1182.588</c:v>
                </c:pt>
                <c:pt idx="2">
                  <c:v>1182.588</c:v>
                </c:pt>
                <c:pt idx="3">
                  <c:v>1182.588</c:v>
                </c:pt>
                <c:pt idx="4">
                  <c:v>1182.588</c:v>
                </c:pt>
                <c:pt idx="5">
                  <c:v>1182.588</c:v>
                </c:pt>
                <c:pt idx="6">
                  <c:v>1182.588</c:v>
                </c:pt>
                <c:pt idx="7">
                  <c:v>1182.588</c:v>
                </c:pt>
                <c:pt idx="8">
                  <c:v>1182.588</c:v>
                </c:pt>
                <c:pt idx="9">
                  <c:v>1182.588</c:v>
                </c:pt>
                <c:pt idx="10">
                  <c:v>1182.588</c:v>
                </c:pt>
                <c:pt idx="11">
                  <c:v>1182.588</c:v>
                </c:pt>
                <c:pt idx="12">
                  <c:v>1182.588</c:v>
                </c:pt>
                <c:pt idx="13">
                  <c:v>1182.588</c:v>
                </c:pt>
                <c:pt idx="14">
                  <c:v>1182.588</c:v>
                </c:pt>
                <c:pt idx="15">
                  <c:v>1182.588</c:v>
                </c:pt>
                <c:pt idx="16">
                  <c:v>1182.588</c:v>
                </c:pt>
                <c:pt idx="17">
                  <c:v>1182.588</c:v>
                </c:pt>
                <c:pt idx="18">
                  <c:v>1182.588</c:v>
                </c:pt>
                <c:pt idx="19">
                  <c:v>1182.588</c:v>
                </c:pt>
                <c:pt idx="20">
                  <c:v>1182.588</c:v>
                </c:pt>
                <c:pt idx="21">
                  <c:v>1182.588</c:v>
                </c:pt>
                <c:pt idx="22">
                  <c:v>1182.588</c:v>
                </c:pt>
                <c:pt idx="23">
                  <c:v>1182.588</c:v>
                </c:pt>
                <c:pt idx="24">
                  <c:v>1182.588</c:v>
                </c:pt>
                <c:pt idx="25">
                  <c:v>1182.588</c:v>
                </c:pt>
                <c:pt idx="26">
                  <c:v>1182.588</c:v>
                </c:pt>
                <c:pt idx="27">
                  <c:v>1182.588</c:v>
                </c:pt>
                <c:pt idx="28">
                  <c:v>1182.588</c:v>
                </c:pt>
                <c:pt idx="29">
                  <c:v>1182.588</c:v>
                </c:pt>
                <c:pt idx="30">
                  <c:v>1182.588</c:v>
                </c:pt>
                <c:pt idx="31">
                  <c:v>1182.588</c:v>
                </c:pt>
                <c:pt idx="32">
                  <c:v>1182.588</c:v>
                </c:pt>
                <c:pt idx="33">
                  <c:v>1182.588</c:v>
                </c:pt>
                <c:pt idx="34">
                  <c:v>1182.588</c:v>
                </c:pt>
                <c:pt idx="35">
                  <c:v>1182.588</c:v>
                </c:pt>
                <c:pt idx="36">
                  <c:v>1182.588</c:v>
                </c:pt>
                <c:pt idx="37">
                  <c:v>1182.588</c:v>
                </c:pt>
                <c:pt idx="38">
                  <c:v>1182.588</c:v>
                </c:pt>
                <c:pt idx="39">
                  <c:v>1182.588</c:v>
                </c:pt>
                <c:pt idx="40">
                  <c:v>1182.588</c:v>
                </c:pt>
                <c:pt idx="41">
                  <c:v>1182.588</c:v>
                </c:pt>
                <c:pt idx="42">
                  <c:v>1182.588</c:v>
                </c:pt>
                <c:pt idx="43">
                  <c:v>1182.588</c:v>
                </c:pt>
                <c:pt idx="44">
                  <c:v>1182.588</c:v>
                </c:pt>
                <c:pt idx="45">
                  <c:v>1182.588</c:v>
                </c:pt>
                <c:pt idx="46">
                  <c:v>1182.588</c:v>
                </c:pt>
                <c:pt idx="47">
                  <c:v>1182.588</c:v>
                </c:pt>
                <c:pt idx="48">
                  <c:v>1182.588</c:v>
                </c:pt>
                <c:pt idx="49">
                  <c:v>1182.588</c:v>
                </c:pt>
                <c:pt idx="50">
                  <c:v>1182.588</c:v>
                </c:pt>
                <c:pt idx="51">
                  <c:v>1182.588</c:v>
                </c:pt>
                <c:pt idx="52">
                  <c:v>1182.588</c:v>
                </c:pt>
                <c:pt idx="53">
                  <c:v>1182.588</c:v>
                </c:pt>
                <c:pt idx="54">
                  <c:v>1182.588</c:v>
                </c:pt>
                <c:pt idx="55">
                  <c:v>1182.588</c:v>
                </c:pt>
                <c:pt idx="56">
                  <c:v>1182.588</c:v>
                </c:pt>
                <c:pt idx="57">
                  <c:v>1182.588</c:v>
                </c:pt>
                <c:pt idx="58">
                  <c:v>1182.588</c:v>
                </c:pt>
                <c:pt idx="59">
                  <c:v>1182.588</c:v>
                </c:pt>
                <c:pt idx="60">
                  <c:v>1182.588</c:v>
                </c:pt>
                <c:pt idx="61">
                  <c:v>1182.588</c:v>
                </c:pt>
                <c:pt idx="62">
                  <c:v>1182.588</c:v>
                </c:pt>
                <c:pt idx="63">
                  <c:v>1182.588</c:v>
                </c:pt>
                <c:pt idx="64">
                  <c:v>1182.588</c:v>
                </c:pt>
                <c:pt idx="65">
                  <c:v>1182.588</c:v>
                </c:pt>
                <c:pt idx="66">
                  <c:v>1182.588</c:v>
                </c:pt>
                <c:pt idx="67">
                  <c:v>1182.588</c:v>
                </c:pt>
                <c:pt idx="68">
                  <c:v>1182.588</c:v>
                </c:pt>
                <c:pt idx="69">
                  <c:v>1182.588</c:v>
                </c:pt>
                <c:pt idx="70">
                  <c:v>1182.588</c:v>
                </c:pt>
                <c:pt idx="71">
                  <c:v>1182.588</c:v>
                </c:pt>
                <c:pt idx="72">
                  <c:v>1182.588</c:v>
                </c:pt>
                <c:pt idx="73">
                  <c:v>1182.588</c:v>
                </c:pt>
                <c:pt idx="74">
                  <c:v>1182.588</c:v>
                </c:pt>
                <c:pt idx="75">
                  <c:v>1182.588</c:v>
                </c:pt>
                <c:pt idx="76">
                  <c:v>1182.588</c:v>
                </c:pt>
                <c:pt idx="77">
                  <c:v>1182.588</c:v>
                </c:pt>
                <c:pt idx="78">
                  <c:v>1182.588</c:v>
                </c:pt>
                <c:pt idx="79">
                  <c:v>1182.588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1B-0F48-9A96-81F2A185A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402960"/>
        <c:axId val="181877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Dashboard!$BC$4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Dashboard!$BC$5:$BC$84</c15:sqref>
                        </c15:formulaRef>
                      </c:ext>
                    </c:extLst>
                    <c:numCache>
                      <c:formatCode>General</c:formatCode>
                      <c:ptCount val="8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1B-0F48-9A96-81F2A185AF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Dashboard!$BD$4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Dashboard!$BD$5:$BD$84</c15:sqref>
                        </c15:formulaRef>
                      </c:ext>
                    </c:extLst>
                    <c:numCache>
                      <c:formatCode>General</c:formatCode>
                      <c:ptCount val="8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1B-0F48-9A96-81F2A185AF96}"/>
                  </c:ext>
                </c:extLst>
              </c15:ser>
            </c15:filteredLineSeries>
          </c:ext>
        </c:extLst>
      </c:lineChart>
      <c:catAx>
        <c:axId val="17694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818779280"/>
        <c:crosses val="autoZero"/>
        <c:auto val="1"/>
        <c:lblAlgn val="ctr"/>
        <c:lblOffset val="100"/>
        <c:noMultiLvlLbl val="0"/>
      </c:catAx>
      <c:valAx>
        <c:axId val="18187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7694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</a:t>
            </a:r>
            <a:r>
              <a:rPr lang="en-US" baseline="0"/>
              <a:t> Energy Vs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Dashboard!$BG$4</c:f>
              <c:strCache>
                <c:ptCount val="1"/>
                <c:pt idx="0">
                  <c:v>Delta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Dashboard!$BG$5:$BG$84</c:f>
              <c:numCache>
                <c:formatCode>General</c:formatCode>
                <c:ptCount val="80"/>
                <c:pt idx="0">
                  <c:v>-2.7936433724421299</c:v>
                </c:pt>
                <c:pt idx="1">
                  <c:v>-0.92013028219625537</c:v>
                </c:pt>
                <c:pt idx="2">
                  <c:v>-0.59235058361955151</c:v>
                </c:pt>
                <c:pt idx="3">
                  <c:v>-1.3928889223077423</c:v>
                </c:pt>
                <c:pt idx="4">
                  <c:v>-0.73501250272095731</c:v>
                </c:pt>
                <c:pt idx="5">
                  <c:v>-0.93393307439975715</c:v>
                </c:pt>
                <c:pt idx="6">
                  <c:v>-1.3317742177573573</c:v>
                </c:pt>
                <c:pt idx="7">
                  <c:v>-1.006765906527654</c:v>
                </c:pt>
                <c:pt idx="8">
                  <c:v>-0.68288876417719901</c:v>
                </c:pt>
                <c:pt idx="9">
                  <c:v>-0.8078453348488539</c:v>
                </c:pt>
                <c:pt idx="10">
                  <c:v>-0.39343001194075172</c:v>
                </c:pt>
                <c:pt idx="11">
                  <c:v>-1.8402605643925107</c:v>
                </c:pt>
                <c:pt idx="12">
                  <c:v>-0.41000419149125389</c:v>
                </c:pt>
                <c:pt idx="13">
                  <c:v>-0.1613044343400889</c:v>
                </c:pt>
                <c:pt idx="14">
                  <c:v>-0.5591455776976888</c:v>
                </c:pt>
                <c:pt idx="15">
                  <c:v>-1.8246831433086463</c:v>
                </c:pt>
                <c:pt idx="16">
                  <c:v>-3.3719648438929744</c:v>
                </c:pt>
                <c:pt idx="17">
                  <c:v>-0.71342099997552333</c:v>
                </c:pt>
                <c:pt idx="18">
                  <c:v>-9.9050012116250592</c:v>
                </c:pt>
                <c:pt idx="19">
                  <c:v>-1.0722341121361947</c:v>
                </c:pt>
                <c:pt idx="20">
                  <c:v>-1.3548278644128886</c:v>
                </c:pt>
                <c:pt idx="21">
                  <c:v>-1.155907292734089</c:v>
                </c:pt>
                <c:pt idx="22">
                  <c:v>-0.91234157165432317</c:v>
                </c:pt>
                <c:pt idx="23">
                  <c:v>-1.34878593755719</c:v>
                </c:pt>
                <c:pt idx="24">
                  <c:v>-17.333752120343856</c:v>
                </c:pt>
                <c:pt idx="25">
                  <c:v>-4.1786667669232287</c:v>
                </c:pt>
                <c:pt idx="26">
                  <c:v>-22.286252726156388</c:v>
                </c:pt>
                <c:pt idx="27">
                  <c:v>-4.6429630743591419</c:v>
                </c:pt>
                <c:pt idx="28">
                  <c:v>-4.1786667669232287</c:v>
                </c:pt>
                <c:pt idx="29">
                  <c:v>-7.5806614937648877</c:v>
                </c:pt>
                <c:pt idx="30">
                  <c:v>-3.2500741520513996</c:v>
                </c:pt>
                <c:pt idx="31">
                  <c:v>-17.333752120343856</c:v>
                </c:pt>
                <c:pt idx="32">
                  <c:v>-3.2500741520513996</c:v>
                </c:pt>
                <c:pt idx="33">
                  <c:v>-2.7857778446154846</c:v>
                </c:pt>
                <c:pt idx="34">
                  <c:v>-7.5056387849533648</c:v>
                </c:pt>
                <c:pt idx="35">
                  <c:v>-1.1112621433331236</c:v>
                </c:pt>
                <c:pt idx="36">
                  <c:v>-3.4677218782022661</c:v>
                </c:pt>
                <c:pt idx="37">
                  <c:v>-0.64673713431971092</c:v>
                </c:pt>
                <c:pt idx="38">
                  <c:v>-0.95698672105528881</c:v>
                </c:pt>
                <c:pt idx="39">
                  <c:v>-1.2599785941511139</c:v>
                </c:pt>
                <c:pt idx="40">
                  <c:v>-0.95698672105528881</c:v>
                </c:pt>
                <c:pt idx="41">
                  <c:v>-1.8246831433086463</c:v>
                </c:pt>
                <c:pt idx="42">
                  <c:v>-11.143126363078194</c:v>
                </c:pt>
                <c:pt idx="43">
                  <c:v>-0.88488572947586508</c:v>
                </c:pt>
                <c:pt idx="44">
                  <c:v>-22.286252726156388</c:v>
                </c:pt>
                <c:pt idx="45">
                  <c:v>-1.3548278644128886</c:v>
                </c:pt>
                <c:pt idx="46">
                  <c:v>-2.2225242866662471</c:v>
                </c:pt>
                <c:pt idx="47">
                  <c:v>-1.0722341121361947</c:v>
                </c:pt>
                <c:pt idx="48">
                  <c:v>-4.6429630743591419</c:v>
                </c:pt>
                <c:pt idx="49">
                  <c:v>-1.2381251514531324</c:v>
                </c:pt>
                <c:pt idx="50">
                  <c:v>-1.2711546838149947</c:v>
                </c:pt>
                <c:pt idx="51">
                  <c:v>-3.93054814503577</c:v>
                </c:pt>
                <c:pt idx="52">
                  <c:v>-1.0722341121361947</c:v>
                </c:pt>
                <c:pt idx="53">
                  <c:v>-1.2827268728334649</c:v>
                </c:pt>
                <c:pt idx="54">
                  <c:v>-0.8402840080955325</c:v>
                </c:pt>
                <c:pt idx="55">
                  <c:v>-0.91234157165432317</c:v>
                </c:pt>
                <c:pt idx="56">
                  <c:v>-1.3894009660773918</c:v>
                </c:pt>
                <c:pt idx="57">
                  <c:v>-7.2987325732345854</c:v>
                </c:pt>
                <c:pt idx="58">
                  <c:v>-1.155907292734089</c:v>
                </c:pt>
                <c:pt idx="59">
                  <c:v>-0.48396819249839912</c:v>
                </c:pt>
                <c:pt idx="60">
                  <c:v>-11.370992240647332</c:v>
                </c:pt>
                <c:pt idx="61">
                  <c:v>-1.033449740267147</c:v>
                </c:pt>
                <c:pt idx="62">
                  <c:v>-1.7080238583695233</c:v>
                </c:pt>
                <c:pt idx="63">
                  <c:v>-1.9831196454395834</c:v>
                </c:pt>
                <c:pt idx="64">
                  <c:v>-0.94673956985376995</c:v>
                </c:pt>
                <c:pt idx="65">
                  <c:v>-11.370992240647332</c:v>
                </c:pt>
                <c:pt idx="66">
                  <c:v>-8.6127049140799161E-2</c:v>
                </c:pt>
                <c:pt idx="67">
                  <c:v>-0.82000838298250778</c:v>
                </c:pt>
                <c:pt idx="68">
                  <c:v>-0.66321687911471394</c:v>
                </c:pt>
                <c:pt idx="69">
                  <c:v>-2.8848388420698221</c:v>
                </c:pt>
                <c:pt idx="70">
                  <c:v>0.14387356404467905</c:v>
                </c:pt>
                <c:pt idx="71">
                  <c:v>0.30206190664994559</c:v>
                </c:pt>
                <c:pt idx="72">
                  <c:v>-0.57587941149307331</c:v>
                </c:pt>
                <c:pt idx="73">
                  <c:v>-0.10871477053154199</c:v>
                </c:pt>
                <c:pt idx="74">
                  <c:v>1.078216831637262</c:v>
                </c:pt>
                <c:pt idx="75">
                  <c:v>9.0205801147258069E-2</c:v>
                </c:pt>
                <c:pt idx="76">
                  <c:v>-0.44573076171142711</c:v>
                </c:pt>
                <c:pt idx="77">
                  <c:v>-0.11644383949075732</c:v>
                </c:pt>
                <c:pt idx="78">
                  <c:v>0.21278255436800741</c:v>
                </c:pt>
                <c:pt idx="79">
                  <c:v>-1.1644383949075729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A-C44B-B396-82FE7553A88D}"/>
            </c:ext>
          </c:extLst>
        </c:ser>
        <c:ser>
          <c:idx val="1"/>
          <c:order val="1"/>
          <c:tx>
            <c:strRef>
              <c:f>Dashboard!$BH$4</c:f>
              <c:strCache>
                <c:ptCount val="1"/>
                <c:pt idx="0">
                  <c:v>Acummulated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Dashboard!$BH$5:$BH$84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5A-C44B-B396-82FE7553A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62735"/>
        <c:axId val="212964447"/>
      </c:lineChart>
      <c:catAx>
        <c:axId val="21296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212964447"/>
        <c:crosses val="autoZero"/>
        <c:auto val="1"/>
        <c:lblAlgn val="ctr"/>
        <c:lblOffset val="100"/>
        <c:noMultiLvlLbl val="0"/>
      </c:catAx>
      <c:valAx>
        <c:axId val="21296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21296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Motor</a:t>
            </a:r>
            <a:r>
              <a:rPr lang="en-US" baseline="0"/>
              <a:t> Power Vs Distance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Dashboard!$BH$4</c:f>
              <c:strCache>
                <c:ptCount val="1"/>
                <c:pt idx="0">
                  <c:v>Acummulated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Dashboard!$BH$5:$BH$84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9-FC4D-9F29-7366CB9C86F1}"/>
            </c:ext>
          </c:extLst>
        </c:ser>
        <c:ser>
          <c:idx val="2"/>
          <c:order val="2"/>
          <c:tx>
            <c:strRef>
              <c:f>Dashboard!$BJ$4</c:f>
              <c:strCache>
                <c:ptCount val="1"/>
                <c:pt idx="0">
                  <c:v>Motor Power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Dashboard!$BJ$5:$BJ$84</c:f>
              <c:numCache>
                <c:formatCode>General</c:formatCode>
                <c:ptCount val="80"/>
                <c:pt idx="0">
                  <c:v>1817.5085263676001</c:v>
                </c:pt>
                <c:pt idx="1">
                  <c:v>3574.9326798465277</c:v>
                </c:pt>
                <c:pt idx="2">
                  <c:v>2781.9385509342237</c:v>
                </c:pt>
                <c:pt idx="3">
                  <c:v>2482.6208920325121</c:v>
                </c:pt>
                <c:pt idx="4">
                  <c:v>3314.1295558048478</c:v>
                </c:pt>
                <c:pt idx="5">
                  <c:v>3891.0006474776796</c:v>
                </c:pt>
                <c:pt idx="6">
                  <c:v>5044.7428308233439</c:v>
                </c:pt>
                <c:pt idx="7">
                  <c:v>4202.8932265056001</c:v>
                </c:pt>
                <c:pt idx="8">
                  <c:v>3299.5484306222243</c:v>
                </c:pt>
                <c:pt idx="9">
                  <c:v>3606.1300282233597</c:v>
                </c:pt>
                <c:pt idx="10">
                  <c:v>2244.851672480208</c:v>
                </c:pt>
                <c:pt idx="11">
                  <c:v>3574.9326798465277</c:v>
                </c:pt>
                <c:pt idx="12">
                  <c:v>2412.6036316588797</c:v>
                </c:pt>
                <c:pt idx="13">
                  <c:v>1698.7634728345604</c:v>
                </c:pt>
                <c:pt idx="14">
                  <c:v>2971.8582958366719</c:v>
                </c:pt>
                <c:pt idx="15">
                  <c:v>4284.5570535215356</c:v>
                </c:pt>
                <c:pt idx="16">
                  <c:v>3610.408721914368</c:v>
                </c:pt>
                <c:pt idx="17">
                  <c:v>3608.2254288016638</c:v>
                </c:pt>
                <c:pt idx="18">
                  <c:v>5887.4752694475519</c:v>
                </c:pt>
                <c:pt idx="19">
                  <c:v>5042.6403977917435</c:v>
                </c:pt>
                <c:pt idx="20">
                  <c:v>5518.0479418408959</c:v>
                </c:pt>
                <c:pt idx="21">
                  <c:v>4881.5005303398402</c:v>
                </c:pt>
                <c:pt idx="22">
                  <c:v>4284.5570535215356</c:v>
                </c:pt>
                <c:pt idx="23">
                  <c:v>3610.408721914368</c:v>
                </c:pt>
                <c:pt idx="24">
                  <c:v>5887.4752694475519</c:v>
                </c:pt>
                <c:pt idx="25">
                  <c:v>2482.6208920325121</c:v>
                </c:pt>
                <c:pt idx="26">
                  <c:v>5887.4752694475519</c:v>
                </c:pt>
                <c:pt idx="27">
                  <c:v>2482.6208920325121</c:v>
                </c:pt>
                <c:pt idx="28">
                  <c:v>2482.6208920325121</c:v>
                </c:pt>
                <c:pt idx="29">
                  <c:v>3608.405707337728</c:v>
                </c:pt>
                <c:pt idx="30">
                  <c:v>2482.6208920325121</c:v>
                </c:pt>
                <c:pt idx="31">
                  <c:v>5887.4752694475519</c:v>
                </c:pt>
                <c:pt idx="32">
                  <c:v>2482.6208920325121</c:v>
                </c:pt>
                <c:pt idx="33">
                  <c:v>2482.6208920325121</c:v>
                </c:pt>
                <c:pt idx="34">
                  <c:v>5042.6403977917435</c:v>
                </c:pt>
                <c:pt idx="35">
                  <c:v>4960.8886782414083</c:v>
                </c:pt>
                <c:pt idx="36">
                  <c:v>4881.5005303398402</c:v>
                </c:pt>
                <c:pt idx="37">
                  <c:v>2023.348364312704</c:v>
                </c:pt>
                <c:pt idx="38">
                  <c:v>4244.9531188387837</c:v>
                </c:pt>
                <c:pt idx="39">
                  <c:v>4710.5368322862078</c:v>
                </c:pt>
                <c:pt idx="40">
                  <c:v>4244.9531188387837</c:v>
                </c:pt>
                <c:pt idx="41">
                  <c:v>4284.5570535215356</c:v>
                </c:pt>
                <c:pt idx="42">
                  <c:v>5887.4752694475519</c:v>
                </c:pt>
                <c:pt idx="43">
                  <c:v>2863.8750648175355</c:v>
                </c:pt>
                <c:pt idx="44">
                  <c:v>5887.4752694475519</c:v>
                </c:pt>
                <c:pt idx="45">
                  <c:v>5518.0479418408959</c:v>
                </c:pt>
                <c:pt idx="46">
                  <c:v>4960.8886782414083</c:v>
                </c:pt>
                <c:pt idx="47">
                  <c:v>5042.6403977917435</c:v>
                </c:pt>
                <c:pt idx="48">
                  <c:v>2482.6208920325121</c:v>
                </c:pt>
                <c:pt idx="49">
                  <c:v>5887.4752694475519</c:v>
                </c:pt>
                <c:pt idx="50">
                  <c:v>5758.7562357304323</c:v>
                </c:pt>
                <c:pt idx="51">
                  <c:v>5637.2203029612792</c:v>
                </c:pt>
                <c:pt idx="52">
                  <c:v>5042.6403977917435</c:v>
                </c:pt>
                <c:pt idx="53">
                  <c:v>3619.7751159750396</c:v>
                </c:pt>
                <c:pt idx="54">
                  <c:v>4375.6751671325437</c:v>
                </c:pt>
                <c:pt idx="55">
                  <c:v>4284.5570535215356</c:v>
                </c:pt>
                <c:pt idx="56">
                  <c:v>6045.5034679731998</c:v>
                </c:pt>
                <c:pt idx="57">
                  <c:v>4284.5570535215356</c:v>
                </c:pt>
                <c:pt idx="58">
                  <c:v>4881.5005303398402</c:v>
                </c:pt>
                <c:pt idx="59">
                  <c:v>2682.8931257305762</c:v>
                </c:pt>
                <c:pt idx="60">
                  <c:v>3608.405707337728</c:v>
                </c:pt>
                <c:pt idx="61">
                  <c:v>4592.9806193604963</c:v>
                </c:pt>
                <c:pt idx="62">
                  <c:v>6989.8835524010246</c:v>
                </c:pt>
                <c:pt idx="63">
                  <c:v>4653.0560053146401</c:v>
                </c:pt>
                <c:pt idx="64">
                  <c:v>2255.5621793619198</c:v>
                </c:pt>
                <c:pt idx="65">
                  <c:v>3608.405707337728</c:v>
                </c:pt>
                <c:pt idx="66">
                  <c:v>1449.5825159472804</c:v>
                </c:pt>
                <c:pt idx="67">
                  <c:v>2412.6036316588797</c:v>
                </c:pt>
                <c:pt idx="68">
                  <c:v>3039.5998770959359</c:v>
                </c:pt>
                <c:pt idx="69">
                  <c:v>3057.73790800192</c:v>
                </c:pt>
                <c:pt idx="70">
                  <c:v>822.90319589720002</c:v>
                </c:pt>
                <c:pt idx="71">
                  <c:v>850.31907683571217</c:v>
                </c:pt>
                <c:pt idx="72">
                  <c:v>2391.9377699558877</c:v>
                </c:pt>
                <c:pt idx="73">
                  <c:v>1400.0180814822399</c:v>
                </c:pt>
                <c:pt idx="74">
                  <c:v>499.71564269422396</c:v>
                </c:pt>
                <c:pt idx="75">
                  <c:v>1002.1759492940798</c:v>
                </c:pt>
                <c:pt idx="76">
                  <c:v>2163.1981130566401</c:v>
                </c:pt>
                <c:pt idx="77">
                  <c:v>1450.409496494992</c:v>
                </c:pt>
                <c:pt idx="78">
                  <c:v>671.90860023091204</c:v>
                </c:pt>
                <c:pt idx="79">
                  <c:v>1450.409496494992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C9-FC4D-9F29-7366CB9C8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737840"/>
        <c:axId val="197173955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Dashboard!$BI$4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Dashboard!$BI$5:$BI$84</c15:sqref>
                        </c15:formulaRef>
                      </c:ext>
                    </c:extLst>
                    <c:numCache>
                      <c:formatCode>General</c:formatCode>
                      <c:ptCount val="8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7C9-FC4D-9F29-7366CB9C86F1}"/>
                  </c:ext>
                </c:extLst>
              </c15:ser>
            </c15:filteredLineSeries>
          </c:ext>
        </c:extLst>
      </c:lineChart>
      <c:catAx>
        <c:axId val="197173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971739552"/>
        <c:crosses val="autoZero"/>
        <c:auto val="1"/>
        <c:lblAlgn val="ctr"/>
        <c:lblOffset val="100"/>
        <c:noMultiLvlLbl val="0"/>
      </c:catAx>
      <c:valAx>
        <c:axId val="197173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97173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Dashboard!$BL$4</c:f>
              <c:strCache>
                <c:ptCount val="1"/>
                <c:pt idx="0">
                  <c:v>Expected Velocity (mph)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Dashboard!$BK$5:$BK$84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xVal>
          <c:yVal>
            <c:numRef>
              <c:f>Dashboard!$BL$5:$BL$84</c:f>
              <c:numCache>
                <c:formatCode>General</c:formatCode>
                <c:ptCount val="80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30</c:v>
                </c:pt>
                <c:pt idx="10">
                  <c:v>27</c:v>
                </c:pt>
                <c:pt idx="11">
                  <c:v>26</c:v>
                </c:pt>
                <c:pt idx="12">
                  <c:v>30</c:v>
                </c:pt>
                <c:pt idx="13">
                  <c:v>32</c:v>
                </c:pt>
                <c:pt idx="14">
                  <c:v>32</c:v>
                </c:pt>
                <c:pt idx="15">
                  <c:v>34</c:v>
                </c:pt>
                <c:pt idx="16">
                  <c:v>36</c:v>
                </c:pt>
                <c:pt idx="17">
                  <c:v>34</c:v>
                </c:pt>
                <c:pt idx="18">
                  <c:v>38</c:v>
                </c:pt>
                <c:pt idx="19">
                  <c:v>36</c:v>
                </c:pt>
                <c:pt idx="20">
                  <c:v>32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28</c:v>
                </c:pt>
                <c:pt idx="26">
                  <c:v>38</c:v>
                </c:pt>
                <c:pt idx="27">
                  <c:v>28</c:v>
                </c:pt>
                <c:pt idx="28">
                  <c:v>28</c:v>
                </c:pt>
                <c:pt idx="29">
                  <c:v>32</c:v>
                </c:pt>
                <c:pt idx="30">
                  <c:v>28</c:v>
                </c:pt>
                <c:pt idx="31">
                  <c:v>38</c:v>
                </c:pt>
                <c:pt idx="32">
                  <c:v>28</c:v>
                </c:pt>
                <c:pt idx="33">
                  <c:v>28</c:v>
                </c:pt>
                <c:pt idx="34">
                  <c:v>36</c:v>
                </c:pt>
                <c:pt idx="35">
                  <c:v>34</c:v>
                </c:pt>
                <c:pt idx="36">
                  <c:v>32</c:v>
                </c:pt>
                <c:pt idx="37">
                  <c:v>26</c:v>
                </c:pt>
                <c:pt idx="38">
                  <c:v>32</c:v>
                </c:pt>
                <c:pt idx="39">
                  <c:v>28</c:v>
                </c:pt>
                <c:pt idx="40">
                  <c:v>32</c:v>
                </c:pt>
                <c:pt idx="41">
                  <c:v>34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32</c:v>
                </c:pt>
                <c:pt idx="46">
                  <c:v>34</c:v>
                </c:pt>
                <c:pt idx="47">
                  <c:v>36</c:v>
                </c:pt>
                <c:pt idx="48">
                  <c:v>28</c:v>
                </c:pt>
                <c:pt idx="49">
                  <c:v>38</c:v>
                </c:pt>
                <c:pt idx="50">
                  <c:v>36</c:v>
                </c:pt>
                <c:pt idx="51">
                  <c:v>34</c:v>
                </c:pt>
                <c:pt idx="52">
                  <c:v>36</c:v>
                </c:pt>
                <c:pt idx="53">
                  <c:v>38</c:v>
                </c:pt>
                <c:pt idx="54">
                  <c:v>38</c:v>
                </c:pt>
                <c:pt idx="55">
                  <c:v>34</c:v>
                </c:pt>
                <c:pt idx="56">
                  <c:v>35</c:v>
                </c:pt>
                <c:pt idx="57">
                  <c:v>34</c:v>
                </c:pt>
                <c:pt idx="58">
                  <c:v>32</c:v>
                </c:pt>
                <c:pt idx="59">
                  <c:v>31</c:v>
                </c:pt>
                <c:pt idx="60">
                  <c:v>32</c:v>
                </c:pt>
                <c:pt idx="61">
                  <c:v>33</c:v>
                </c:pt>
                <c:pt idx="62">
                  <c:v>34</c:v>
                </c:pt>
                <c:pt idx="63">
                  <c:v>35</c:v>
                </c:pt>
                <c:pt idx="64">
                  <c:v>34</c:v>
                </c:pt>
                <c:pt idx="65">
                  <c:v>32</c:v>
                </c:pt>
                <c:pt idx="66">
                  <c:v>31</c:v>
                </c:pt>
                <c:pt idx="67">
                  <c:v>30</c:v>
                </c:pt>
                <c:pt idx="68">
                  <c:v>28</c:v>
                </c:pt>
                <c:pt idx="69">
                  <c:v>26</c:v>
                </c:pt>
                <c:pt idx="70">
                  <c:v>25</c:v>
                </c:pt>
                <c:pt idx="71">
                  <c:v>22</c:v>
                </c:pt>
                <c:pt idx="72">
                  <c:v>21</c:v>
                </c:pt>
                <c:pt idx="73">
                  <c:v>20</c:v>
                </c:pt>
                <c:pt idx="74">
                  <c:v>19</c:v>
                </c:pt>
                <c:pt idx="75">
                  <c:v>20</c:v>
                </c:pt>
                <c:pt idx="76">
                  <c:v>22</c:v>
                </c:pt>
                <c:pt idx="77">
                  <c:v>23</c:v>
                </c:pt>
                <c:pt idx="78">
                  <c:v>24</c:v>
                </c:pt>
                <c:pt idx="7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1-3A41-93EF-3D60AAD58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0623"/>
        <c:axId val="30435407"/>
      </c:scatterChart>
      <c:valAx>
        <c:axId val="3043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30435407"/>
        <c:crosses val="autoZero"/>
        <c:crossBetween val="midCat"/>
      </c:valAx>
      <c:valAx>
        <c:axId val="3043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3043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284329</xdr:colOff>
      <xdr:row>15</xdr:row>
      <xdr:rowOff>132687</xdr:rowOff>
    </xdr:from>
    <xdr:to>
      <xdr:col>29</xdr:col>
      <xdr:colOff>666088</xdr:colOff>
      <xdr:row>37</xdr:row>
      <xdr:rowOff>15037</xdr:rowOff>
    </xdr:to>
    <xdr:pic>
      <xdr:nvPicPr>
        <xdr:cNvPr id="2" name="Picture 1" descr="2005 Fall Brainerd International Raceway">
          <a:extLst>
            <a:ext uri="{FF2B5EF4-FFF2-40B4-BE49-F238E27FC236}">
              <a16:creationId xmlns:a16="http://schemas.microsoft.com/office/drawing/2014/main" id="{7CED0607-051C-1AEF-213A-0C19914A1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5708" y="3406221"/>
          <a:ext cx="6950725" cy="4458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394470</xdr:colOff>
      <xdr:row>10</xdr:row>
      <xdr:rowOff>9237</xdr:rowOff>
    </xdr:from>
    <xdr:to>
      <xdr:col>13</xdr:col>
      <xdr:colOff>370223</xdr:colOff>
      <xdr:row>30</xdr:row>
      <xdr:rowOff>83127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A59AD-7533-0A7C-CF20-C1AF1D7C9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513774</xdr:colOff>
      <xdr:row>35</xdr:row>
      <xdr:rowOff>52340</xdr:rowOff>
    </xdr:from>
    <xdr:to>
      <xdr:col>9</xdr:col>
      <xdr:colOff>269394</xdr:colOff>
      <xdr:row>56</xdr:row>
      <xdr:rowOff>57727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629D2E-7961-179C-F0A0-594A3A5B4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648471</xdr:colOff>
      <xdr:row>58</xdr:row>
      <xdr:rowOff>206277</xdr:rowOff>
    </xdr:from>
    <xdr:to>
      <xdr:col>8</xdr:col>
      <xdr:colOff>365607</xdr:colOff>
      <xdr:row>79</xdr:row>
      <xdr:rowOff>153938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FF83B2-3750-BC03-1BA7-65272742D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561878</xdr:colOff>
      <xdr:row>35</xdr:row>
      <xdr:rowOff>76970</xdr:rowOff>
    </xdr:from>
    <xdr:to>
      <xdr:col>20</xdr:col>
      <xdr:colOff>76969</xdr:colOff>
      <xdr:row>56</xdr:row>
      <xdr:rowOff>82358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888C6D-2977-6C65-431B-43499BA84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8467</xdr:colOff>
      <xdr:row>10</xdr:row>
      <xdr:rowOff>50800</xdr:rowOff>
    </xdr:from>
    <xdr:to>
      <xdr:col>25</xdr:col>
      <xdr:colOff>457200</xdr:colOff>
      <xdr:row>31</xdr:row>
      <xdr:rowOff>33867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CFE510-D68E-4259-9A39-6870ADFB8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AB01-1BB9-2D42-A4D0-F0B3902A572B}">
  <dimension ref="B1:E19"/>
  <sheetViews>
    <sheetView workbookViewId="0">
      <selection activeCell="B31" sqref="B31"/>
    </sheetView>
  </sheetViews>
  <sheetFormatPr defaultColWidth="10.796875" defaultRowHeight="15"/>
  <cols>
    <col min="1" max="1" width="13.19921875" style="3" customWidth="1"/>
    <col min="2" max="2" width="20.5" style="3" bestFit="1" customWidth="1"/>
    <col min="3" max="4" width="10.796875" style="3"/>
    <col min="5" max="5" width="12.296875" style="3" customWidth="1"/>
    <col min="6" max="16384" width="10.796875" style="3"/>
  </cols>
  <sheetData>
    <row r="1" spans="2:5" ht="15.6" thickBot="1"/>
    <row r="2" spans="2:5" ht="16.2" thickBot="1">
      <c r="B2" s="18" t="s">
        <v>0</v>
      </c>
      <c r="C2" s="19" t="s">
        <v>3</v>
      </c>
      <c r="D2" s="20" t="s">
        <v>1</v>
      </c>
      <c r="E2" s="21" t="s">
        <v>4</v>
      </c>
    </row>
    <row r="3" spans="2:5">
      <c r="B3" s="14" t="s">
        <v>5</v>
      </c>
      <c r="C3" s="15" t="s">
        <v>6</v>
      </c>
      <c r="D3" s="16">
        <v>453.59199999999998</v>
      </c>
      <c r="E3" s="17" t="s">
        <v>43</v>
      </c>
    </row>
    <row r="4" spans="2:5">
      <c r="B4" s="8" t="s">
        <v>7</v>
      </c>
      <c r="C4" s="5" t="s">
        <v>7</v>
      </c>
      <c r="D4" s="6">
        <f>D5*D6</f>
        <v>0.36669999999999997</v>
      </c>
      <c r="E4" s="9" t="s">
        <v>8</v>
      </c>
    </row>
    <row r="5" spans="2:5">
      <c r="B5" s="8" t="s">
        <v>26</v>
      </c>
      <c r="C5" s="5"/>
      <c r="D5" s="6">
        <v>0.19</v>
      </c>
      <c r="E5" s="9"/>
    </row>
    <row r="6" spans="2:5">
      <c r="B6" s="8" t="s">
        <v>27</v>
      </c>
      <c r="C6" s="5"/>
      <c r="D6" s="6">
        <v>1.93</v>
      </c>
      <c r="E6" s="9" t="s">
        <v>28</v>
      </c>
    </row>
    <row r="7" spans="2:5">
      <c r="B7" s="8" t="s">
        <v>2</v>
      </c>
      <c r="C7" s="5" t="s">
        <v>2</v>
      </c>
      <c r="D7" s="7">
        <v>5.0000000000000001E-3</v>
      </c>
      <c r="E7" s="9" t="s">
        <v>9</v>
      </c>
    </row>
    <row r="8" spans="2:5">
      <c r="B8" s="8" t="s">
        <v>10</v>
      </c>
      <c r="C8" s="5" t="s">
        <v>11</v>
      </c>
      <c r="D8" s="6">
        <v>1.2250000000000001</v>
      </c>
      <c r="E8" s="9" t="s">
        <v>12</v>
      </c>
    </row>
    <row r="9" spans="2:5">
      <c r="B9" s="8" t="s">
        <v>13</v>
      </c>
      <c r="C9" s="5" t="s">
        <v>14</v>
      </c>
      <c r="D9" s="6">
        <v>9.81</v>
      </c>
      <c r="E9" s="9" t="s">
        <v>15</v>
      </c>
    </row>
    <row r="10" spans="2:5">
      <c r="B10" s="8" t="s">
        <v>16</v>
      </c>
      <c r="C10" s="5" t="s">
        <v>17</v>
      </c>
      <c r="D10" s="6">
        <v>0.95</v>
      </c>
      <c r="E10" s="9" t="s">
        <v>18</v>
      </c>
    </row>
    <row r="11" spans="2:5">
      <c r="B11" s="8" t="s">
        <v>19</v>
      </c>
      <c r="C11" s="5" t="s">
        <v>20</v>
      </c>
      <c r="D11" s="6">
        <v>5400</v>
      </c>
      <c r="E11" s="9" t="s">
        <v>21</v>
      </c>
    </row>
    <row r="12" spans="2:5">
      <c r="B12" s="8" t="s">
        <v>22</v>
      </c>
      <c r="C12" s="5" t="s">
        <v>23</v>
      </c>
      <c r="D12" s="6">
        <v>5.7969999999999997</v>
      </c>
      <c r="E12" s="9" t="s">
        <v>8</v>
      </c>
    </row>
    <row r="13" spans="2:5" ht="15.6" thickBot="1">
      <c r="B13" s="10" t="s">
        <v>24</v>
      </c>
      <c r="C13" s="11" t="s">
        <v>25</v>
      </c>
      <c r="D13" s="12">
        <v>0.255</v>
      </c>
      <c r="E13" s="13" t="s">
        <v>18</v>
      </c>
    </row>
    <row r="16" spans="2:5" ht="15.6">
      <c r="B16" s="1"/>
      <c r="C16" s="1"/>
    </row>
    <row r="17" spans="3:3">
      <c r="C17" s="57"/>
    </row>
    <row r="18" spans="3:3">
      <c r="C18" s="58"/>
    </row>
    <row r="19" spans="3:3">
      <c r="C19" s="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02E8-E1CC-B040-ABF0-E9B3099ABD75}">
  <dimension ref="C5:C9"/>
  <sheetViews>
    <sheetView workbookViewId="0">
      <selection activeCell="D20" sqref="D20"/>
    </sheetView>
  </sheetViews>
  <sheetFormatPr defaultColWidth="11.19921875" defaultRowHeight="15.6"/>
  <cols>
    <col min="3" max="3" width="18.19921875" bestFit="1" customWidth="1"/>
  </cols>
  <sheetData>
    <row r="5" spans="3:3">
      <c r="C5" t="s">
        <v>77</v>
      </c>
    </row>
    <row r="6" spans="3:3">
      <c r="C6" t="s">
        <v>78</v>
      </c>
    </row>
    <row r="7" spans="3:3">
      <c r="C7" t="s">
        <v>79</v>
      </c>
    </row>
    <row r="8" spans="3:3">
      <c r="C8" t="s">
        <v>80</v>
      </c>
    </row>
    <row r="9" spans="3:3">
      <c r="C9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F232-D191-AE4C-9E04-413520C52882}">
  <dimension ref="C5:T93"/>
  <sheetViews>
    <sheetView tabSelected="1" topLeftCell="B4" zoomScale="89" zoomScaleNormal="44" workbookViewId="0">
      <selection activeCell="H17" sqref="H17"/>
    </sheetView>
  </sheetViews>
  <sheetFormatPr defaultColWidth="10.796875" defaultRowHeight="15"/>
  <cols>
    <col min="1" max="1" width="10.796875" style="3"/>
    <col min="2" max="2" width="13.69921875" style="3" customWidth="1"/>
    <col min="3" max="4" width="16.5" style="3" bestFit="1" customWidth="1"/>
    <col min="5" max="5" width="16.5" style="3" customWidth="1"/>
    <col min="6" max="6" width="15" style="3" customWidth="1"/>
    <col min="7" max="7" width="20.5" style="3" customWidth="1"/>
    <col min="8" max="8" width="24.69921875" style="4" bestFit="1" customWidth="1"/>
    <col min="9" max="10" width="19.69921875" style="3" customWidth="1"/>
    <col min="11" max="11" width="19.796875" style="3" customWidth="1"/>
    <col min="12" max="12" width="14.69921875" style="3" customWidth="1"/>
    <col min="13" max="13" width="10.796875" style="3" customWidth="1"/>
    <col min="14" max="14" width="19.796875" style="3" hidden="1" customWidth="1"/>
    <col min="15" max="15" width="17.69921875" style="3" hidden="1" customWidth="1"/>
    <col min="16" max="16" width="20" style="3" hidden="1" customWidth="1"/>
    <col min="17" max="19" width="14.796875" style="3" hidden="1" customWidth="1"/>
    <col min="20" max="20" width="25.5" style="3" hidden="1" customWidth="1"/>
    <col min="21" max="21" width="16.19921875" style="3" customWidth="1"/>
    <col min="22" max="16384" width="10.796875" style="3"/>
  </cols>
  <sheetData>
    <row r="5" spans="3:20" ht="27" customHeight="1">
      <c r="I5" s="2"/>
      <c r="J5" s="2"/>
      <c r="K5" s="2"/>
      <c r="L5" s="2"/>
    </row>
    <row r="7" spans="3:20" ht="15.6">
      <c r="F7" s="3" t="s">
        <v>75</v>
      </c>
      <c r="G7" s="3">
        <f>SUM(M13:M92)/60</f>
        <v>5.828059793152117</v>
      </c>
      <c r="H7" s="4" t="s">
        <v>74</v>
      </c>
      <c r="L7" s="59"/>
      <c r="M7" s="59"/>
      <c r="N7" s="59"/>
    </row>
    <row r="8" spans="3:20" ht="15.6">
      <c r="F8" s="3" t="s">
        <v>73</v>
      </c>
      <c r="G8" s="3">
        <f>F92</f>
        <v>3.0299999999999963</v>
      </c>
      <c r="H8" s="4" t="s">
        <v>76</v>
      </c>
      <c r="L8" s="1"/>
    </row>
    <row r="9" spans="3:20" ht="15.6">
      <c r="L9" s="59"/>
      <c r="M9" s="59"/>
      <c r="N9" s="59"/>
    </row>
    <row r="11" spans="3:20" ht="15.6" thickBot="1"/>
    <row r="12" spans="3:20" ht="16.2" thickBot="1">
      <c r="C12" s="30" t="s">
        <v>45</v>
      </c>
      <c r="D12" s="31" t="s">
        <v>46</v>
      </c>
      <c r="E12" s="31" t="s">
        <v>47</v>
      </c>
      <c r="F12" s="32" t="s">
        <v>48</v>
      </c>
      <c r="G12" s="31" t="s">
        <v>49</v>
      </c>
      <c r="H12" s="31" t="s">
        <v>50</v>
      </c>
      <c r="I12" s="44" t="s">
        <v>51</v>
      </c>
      <c r="J12" s="2"/>
      <c r="K12" s="42" t="s">
        <v>52</v>
      </c>
      <c r="L12" s="33" t="s">
        <v>53</v>
      </c>
      <c r="M12" s="43" t="s">
        <v>54</v>
      </c>
      <c r="N12" s="41" t="s">
        <v>55</v>
      </c>
      <c r="O12" s="33" t="s">
        <v>57</v>
      </c>
      <c r="P12" s="33" t="s">
        <v>56</v>
      </c>
      <c r="Q12" s="33" t="s">
        <v>58</v>
      </c>
      <c r="R12" s="36" t="s">
        <v>59</v>
      </c>
      <c r="S12" s="36" t="s">
        <v>44</v>
      </c>
      <c r="T12" s="38" t="s">
        <v>42</v>
      </c>
    </row>
    <row r="13" spans="3:20" ht="15.6">
      <c r="C13" s="14">
        <v>1</v>
      </c>
      <c r="D13" s="15" t="s">
        <v>29</v>
      </c>
      <c r="E13" s="16">
        <v>0.11</v>
      </c>
      <c r="F13" s="16">
        <f>E13</f>
        <v>0.11</v>
      </c>
      <c r="G13" s="24">
        <v>0</v>
      </c>
      <c r="H13" s="28">
        <v>25</v>
      </c>
      <c r="I13" s="17">
        <v>800</v>
      </c>
      <c r="K13" s="14">
        <f t="shared" ref="K13:K44" si="0">1609.34*E13</f>
        <v>177.0274</v>
      </c>
      <c r="L13" s="23">
        <f t="shared" ref="L13:L44" si="1">0.44704*H13</f>
        <v>11.176</v>
      </c>
      <c r="M13" s="17">
        <f>K13/L13</f>
        <v>15.83996062992126</v>
      </c>
      <c r="N13" s="35">
        <f t="shared" ref="N13:N44" si="2">0.5*rho*CdA*(L13^2)</f>
        <v>28.053676795760001</v>
      </c>
      <c r="O13" s="15">
        <f t="shared" ref="O13:O44" si="3">Crr*m*g</f>
        <v>22.2486876</v>
      </c>
      <c r="P13" s="15">
        <f t="shared" ref="P13:P44" si="4">m * g * G13</f>
        <v>0</v>
      </c>
      <c r="Q13" s="15">
        <f>SUM(N13:P13)</f>
        <v>50.302364395760002</v>
      </c>
      <c r="R13" s="37">
        <f>MAX(0,Q13)</f>
        <v>50.302364395760002</v>
      </c>
      <c r="S13" s="37">
        <f>R13*L13</f>
        <v>562.17922448701381</v>
      </c>
      <c r="T13" s="37">
        <f>(S13*M13)/3600</f>
        <v>2.4735824396761013</v>
      </c>
    </row>
    <row r="14" spans="3:20" ht="15.6">
      <c r="C14" s="8">
        <v>2</v>
      </c>
      <c r="D14" s="5"/>
      <c r="E14" s="6">
        <v>0.01</v>
      </c>
      <c r="F14" s="6">
        <f t="shared" ref="F14:F45" si="5">F13+E14</f>
        <v>0.12</v>
      </c>
      <c r="G14" s="25">
        <v>0.03</v>
      </c>
      <c r="H14" s="29">
        <v>26</v>
      </c>
      <c r="I14" s="9">
        <v>800</v>
      </c>
      <c r="K14" s="8">
        <f t="shared" si="0"/>
        <v>16.093399999999999</v>
      </c>
      <c r="L14" s="22">
        <f t="shared" si="1"/>
        <v>11.62304</v>
      </c>
      <c r="M14" s="9">
        <f t="shared" ref="M14:M77" si="6">K14/L14</f>
        <v>1.3846119431749353</v>
      </c>
      <c r="N14" s="35">
        <f t="shared" si="2"/>
        <v>30.34285682229401</v>
      </c>
      <c r="O14" s="5">
        <f t="shared" si="3"/>
        <v>22.2486876</v>
      </c>
      <c r="P14" s="15">
        <f t="shared" si="4"/>
        <v>133.49212559999998</v>
      </c>
      <c r="Q14" s="5">
        <f t="shared" ref="Q14:Q77" si="7">SUM(N14:P14)</f>
        <v>186.08367002229397</v>
      </c>
      <c r="R14" s="37">
        <f t="shared" ref="R14:R77" si="8">MAX(0,Q14)</f>
        <v>186.08367002229397</v>
      </c>
      <c r="S14" s="37">
        <f t="shared" ref="S14:S77" si="9">R14*L14</f>
        <v>2162.8579400159238</v>
      </c>
      <c r="T14" s="37">
        <f t="shared" ref="T14:T77" si="10">(S14*M14)/3600</f>
        <v>0.83186637087132942</v>
      </c>
    </row>
    <row r="15" spans="3:20" ht="15.6">
      <c r="C15" s="8">
        <v>3</v>
      </c>
      <c r="D15" s="5"/>
      <c r="E15" s="6">
        <v>0.01</v>
      </c>
      <c r="F15" s="6">
        <f t="shared" si="5"/>
        <v>0.13</v>
      </c>
      <c r="G15" s="25">
        <v>0.01</v>
      </c>
      <c r="H15" s="29">
        <v>27</v>
      </c>
      <c r="I15" s="9">
        <v>800</v>
      </c>
      <c r="K15" s="8">
        <f t="shared" si="0"/>
        <v>16.093399999999999</v>
      </c>
      <c r="L15" s="22">
        <f t="shared" si="1"/>
        <v>12.070079999999999</v>
      </c>
      <c r="M15" s="9">
        <f t="shared" si="6"/>
        <v>1.3333300193536415</v>
      </c>
      <c r="N15" s="35">
        <f t="shared" si="2"/>
        <v>32.721808614574456</v>
      </c>
      <c r="O15" s="5">
        <f t="shared" si="3"/>
        <v>22.2486876</v>
      </c>
      <c r="P15" s="15">
        <f t="shared" si="4"/>
        <v>44.4973752</v>
      </c>
      <c r="Q15" s="5">
        <f t="shared" si="7"/>
        <v>99.467871414574461</v>
      </c>
      <c r="R15" s="37">
        <f t="shared" si="8"/>
        <v>99.467871414574461</v>
      </c>
      <c r="S15" s="37">
        <f t="shared" si="9"/>
        <v>1200.5851654036269</v>
      </c>
      <c r="T15" s="37">
        <f t="shared" si="10"/>
        <v>0.44466006717314238</v>
      </c>
    </row>
    <row r="16" spans="3:20" ht="15.6">
      <c r="C16" s="8">
        <v>4</v>
      </c>
      <c r="D16" s="5"/>
      <c r="E16" s="6">
        <v>0.03</v>
      </c>
      <c r="F16" s="6">
        <f t="shared" si="5"/>
        <v>0.16</v>
      </c>
      <c r="G16" s="25">
        <v>0</v>
      </c>
      <c r="H16" s="29">
        <v>28</v>
      </c>
      <c r="I16" s="9">
        <v>800</v>
      </c>
      <c r="K16" s="8">
        <f t="shared" si="0"/>
        <v>48.280199999999994</v>
      </c>
      <c r="L16" s="22">
        <f t="shared" si="1"/>
        <v>12.51712</v>
      </c>
      <c r="M16" s="9">
        <f t="shared" si="6"/>
        <v>3.8571332702730334</v>
      </c>
      <c r="N16" s="35">
        <f t="shared" si="2"/>
        <v>35.190532172601344</v>
      </c>
      <c r="O16" s="5">
        <f t="shared" si="3"/>
        <v>22.2486876</v>
      </c>
      <c r="P16" s="15">
        <f t="shared" si="4"/>
        <v>0</v>
      </c>
      <c r="Q16" s="5">
        <f t="shared" si="7"/>
        <v>57.439219772601348</v>
      </c>
      <c r="R16" s="37">
        <f t="shared" si="8"/>
        <v>57.439219772601348</v>
      </c>
      <c r="S16" s="37">
        <f t="shared" si="9"/>
        <v>718.9736066000238</v>
      </c>
      <c r="T16" s="37">
        <f t="shared" si="10"/>
        <v>0.770326949573652</v>
      </c>
    </row>
    <row r="17" spans="3:20" ht="15.6">
      <c r="C17" s="8">
        <v>5</v>
      </c>
      <c r="D17" s="5"/>
      <c r="E17" s="6">
        <v>0.01</v>
      </c>
      <c r="F17" s="6">
        <f t="shared" si="5"/>
        <v>0.17</v>
      </c>
      <c r="G17" s="25">
        <v>0.01</v>
      </c>
      <c r="H17" s="29">
        <v>29</v>
      </c>
      <c r="I17" s="9">
        <v>800</v>
      </c>
      <c r="K17" s="8">
        <f t="shared" si="0"/>
        <v>16.093399999999999</v>
      </c>
      <c r="L17" s="22">
        <f t="shared" si="1"/>
        <v>12.96416</v>
      </c>
      <c r="M17" s="9">
        <f t="shared" si="6"/>
        <v>1.2413762249154592</v>
      </c>
      <c r="N17" s="35">
        <f t="shared" si="2"/>
        <v>37.749027496374651</v>
      </c>
      <c r="O17" s="5">
        <f t="shared" si="3"/>
        <v>22.2486876</v>
      </c>
      <c r="P17" s="15">
        <f t="shared" si="4"/>
        <v>44.4973752</v>
      </c>
      <c r="Q17" s="5">
        <f t="shared" si="7"/>
        <v>104.49509029637466</v>
      </c>
      <c r="R17" s="37">
        <f t="shared" si="8"/>
        <v>104.49509029637466</v>
      </c>
      <c r="S17" s="37">
        <f t="shared" si="9"/>
        <v>1354.6910698166485</v>
      </c>
      <c r="T17" s="37">
        <f t="shared" si="10"/>
        <v>0.46713369060435439</v>
      </c>
    </row>
    <row r="18" spans="3:20" ht="15.6">
      <c r="C18" s="8">
        <v>6</v>
      </c>
      <c r="D18" s="5"/>
      <c r="E18" s="6">
        <v>0.01</v>
      </c>
      <c r="F18" s="6">
        <f t="shared" si="5"/>
        <v>0.18000000000000002</v>
      </c>
      <c r="G18" s="25">
        <v>0.02</v>
      </c>
      <c r="H18" s="29">
        <v>29</v>
      </c>
      <c r="I18" s="9">
        <v>800</v>
      </c>
      <c r="K18" s="8">
        <f t="shared" si="0"/>
        <v>16.093399999999999</v>
      </c>
      <c r="L18" s="22">
        <f t="shared" si="1"/>
        <v>12.96416</v>
      </c>
      <c r="M18" s="9">
        <f t="shared" si="6"/>
        <v>1.2413762249154592</v>
      </c>
      <c r="N18" s="35">
        <f t="shared" si="2"/>
        <v>37.749027496374651</v>
      </c>
      <c r="O18" s="5">
        <f t="shared" si="3"/>
        <v>22.2486876</v>
      </c>
      <c r="P18" s="15">
        <f t="shared" si="4"/>
        <v>88.994750400000001</v>
      </c>
      <c r="Q18" s="5">
        <f t="shared" si="7"/>
        <v>148.99246549637465</v>
      </c>
      <c r="R18" s="37">
        <f t="shared" si="8"/>
        <v>148.99246549637465</v>
      </c>
      <c r="S18" s="37">
        <f t="shared" si="9"/>
        <v>1931.5621614894803</v>
      </c>
      <c r="T18" s="37">
        <f t="shared" si="10"/>
        <v>0.66605426228315434</v>
      </c>
    </row>
    <row r="19" spans="3:20" ht="15.6">
      <c r="C19" s="8">
        <v>7</v>
      </c>
      <c r="D19" s="5"/>
      <c r="E19" s="6">
        <v>0.01</v>
      </c>
      <c r="F19" s="6">
        <f t="shared" si="5"/>
        <v>0.19000000000000003</v>
      </c>
      <c r="G19" s="25">
        <v>0.04</v>
      </c>
      <c r="H19" s="29">
        <v>29</v>
      </c>
      <c r="I19" s="9">
        <v>800</v>
      </c>
      <c r="K19" s="8">
        <f t="shared" si="0"/>
        <v>16.093399999999999</v>
      </c>
      <c r="L19" s="22">
        <f t="shared" si="1"/>
        <v>12.96416</v>
      </c>
      <c r="M19" s="9">
        <f t="shared" si="6"/>
        <v>1.2413762249154592</v>
      </c>
      <c r="N19" s="35">
        <f t="shared" si="2"/>
        <v>37.749027496374651</v>
      </c>
      <c r="O19" s="5">
        <f t="shared" si="3"/>
        <v>22.2486876</v>
      </c>
      <c r="P19" s="15">
        <f t="shared" si="4"/>
        <v>177.9895008</v>
      </c>
      <c r="Q19" s="5">
        <f t="shared" si="7"/>
        <v>237.98721589637466</v>
      </c>
      <c r="R19" s="37">
        <f t="shared" si="8"/>
        <v>237.98721589637466</v>
      </c>
      <c r="S19" s="37">
        <f t="shared" si="9"/>
        <v>3085.3043448351445</v>
      </c>
      <c r="T19" s="37">
        <f t="shared" si="10"/>
        <v>1.0638954056407544</v>
      </c>
    </row>
    <row r="20" spans="3:20" ht="15.6">
      <c r="C20" s="8">
        <v>8</v>
      </c>
      <c r="D20" s="5"/>
      <c r="E20" s="6">
        <v>0.01</v>
      </c>
      <c r="F20" s="6">
        <f t="shared" si="5"/>
        <v>0.20000000000000004</v>
      </c>
      <c r="G20" s="25">
        <v>0.02</v>
      </c>
      <c r="H20" s="29">
        <v>30</v>
      </c>
      <c r="I20" s="9">
        <v>800</v>
      </c>
      <c r="K20" s="8">
        <f t="shared" si="0"/>
        <v>16.093399999999999</v>
      </c>
      <c r="L20" s="22">
        <f t="shared" si="1"/>
        <v>13.411199999999999</v>
      </c>
      <c r="M20" s="9">
        <f t="shared" si="6"/>
        <v>1.1999970174182772</v>
      </c>
      <c r="N20" s="35">
        <f t="shared" si="2"/>
        <v>40.397294585894393</v>
      </c>
      <c r="O20" s="5">
        <f t="shared" si="3"/>
        <v>22.2486876</v>
      </c>
      <c r="P20" s="15">
        <f t="shared" si="4"/>
        <v>88.994750400000001</v>
      </c>
      <c r="Q20" s="5">
        <f t="shared" si="7"/>
        <v>151.6407325858944</v>
      </c>
      <c r="R20" s="37">
        <f t="shared" si="8"/>
        <v>151.6407325858944</v>
      </c>
      <c r="S20" s="37">
        <f t="shared" si="9"/>
        <v>2033.6841928559468</v>
      </c>
      <c r="T20" s="17">
        <f t="shared" si="10"/>
        <v>0.6778930460549536</v>
      </c>
    </row>
    <row r="21" spans="3:20" ht="15.6">
      <c r="C21" s="8">
        <v>9</v>
      </c>
      <c r="D21" s="5"/>
      <c r="E21" s="6">
        <v>0.01</v>
      </c>
      <c r="F21" s="6">
        <f t="shared" si="5"/>
        <v>0.21000000000000005</v>
      </c>
      <c r="G21" s="25">
        <v>0</v>
      </c>
      <c r="H21" s="29">
        <v>31</v>
      </c>
      <c r="I21" s="9">
        <v>800</v>
      </c>
      <c r="K21" s="8">
        <f t="shared" si="0"/>
        <v>16.093399999999999</v>
      </c>
      <c r="L21" s="22">
        <f t="shared" si="1"/>
        <v>13.85824</v>
      </c>
      <c r="M21" s="9">
        <f t="shared" si="6"/>
        <v>1.161287436211236</v>
      </c>
      <c r="N21" s="35">
        <f t="shared" si="2"/>
        <v>43.135333441160576</v>
      </c>
      <c r="O21" s="5">
        <f t="shared" si="3"/>
        <v>22.2486876</v>
      </c>
      <c r="P21" s="15">
        <f t="shared" si="4"/>
        <v>0</v>
      </c>
      <c r="Q21" s="5">
        <f t="shared" si="7"/>
        <v>65.38402104116058</v>
      </c>
      <c r="R21" s="37">
        <f t="shared" si="8"/>
        <v>65.38402104116058</v>
      </c>
      <c r="S21" s="37">
        <f t="shared" si="9"/>
        <v>906.10745575345322</v>
      </c>
      <c r="T21" s="17">
        <f t="shared" si="10"/>
        <v>0.29229200117328158</v>
      </c>
    </row>
    <row r="22" spans="3:20" ht="15.6">
      <c r="C22" s="8">
        <v>10</v>
      </c>
      <c r="D22" s="5"/>
      <c r="E22" s="6">
        <v>0.01</v>
      </c>
      <c r="F22" s="6">
        <f t="shared" si="5"/>
        <v>0.22000000000000006</v>
      </c>
      <c r="G22" s="25">
        <v>0.01</v>
      </c>
      <c r="H22" s="29">
        <v>30</v>
      </c>
      <c r="I22" s="9">
        <v>800</v>
      </c>
      <c r="K22" s="8">
        <f t="shared" si="0"/>
        <v>16.093399999999999</v>
      </c>
      <c r="L22" s="22">
        <f t="shared" si="1"/>
        <v>13.411199999999999</v>
      </c>
      <c r="M22" s="9">
        <f t="shared" si="6"/>
        <v>1.1999970174182772</v>
      </c>
      <c r="N22" s="35">
        <f t="shared" si="2"/>
        <v>40.397294585894393</v>
      </c>
      <c r="O22" s="5">
        <f t="shared" si="3"/>
        <v>22.2486876</v>
      </c>
      <c r="P22" s="15">
        <f t="shared" si="4"/>
        <v>44.4973752</v>
      </c>
      <c r="Q22" s="5">
        <f t="shared" si="7"/>
        <v>107.1433573858944</v>
      </c>
      <c r="R22" s="37">
        <f t="shared" si="8"/>
        <v>107.1433573858944</v>
      </c>
      <c r="S22" s="37">
        <f t="shared" si="9"/>
        <v>1436.920994573707</v>
      </c>
      <c r="T22" s="17">
        <f t="shared" si="10"/>
        <v>0.47897247437615365</v>
      </c>
    </row>
    <row r="23" spans="3:20" ht="15.6">
      <c r="C23" s="8">
        <v>11</v>
      </c>
      <c r="D23" s="5"/>
      <c r="E23" s="6">
        <v>0.01</v>
      </c>
      <c r="F23" s="6">
        <f t="shared" si="5"/>
        <v>0.23000000000000007</v>
      </c>
      <c r="G23" s="25">
        <v>0</v>
      </c>
      <c r="H23" s="29">
        <v>27</v>
      </c>
      <c r="I23" s="9">
        <v>800</v>
      </c>
      <c r="K23" s="8">
        <f t="shared" si="0"/>
        <v>16.093399999999999</v>
      </c>
      <c r="L23" s="22">
        <f t="shared" si="1"/>
        <v>12.070079999999999</v>
      </c>
      <c r="M23" s="9">
        <f t="shared" si="6"/>
        <v>1.3333300193536415</v>
      </c>
      <c r="N23" s="35">
        <f t="shared" si="2"/>
        <v>32.721808614574456</v>
      </c>
      <c r="O23" s="5">
        <f t="shared" si="3"/>
        <v>22.2486876</v>
      </c>
      <c r="P23" s="15">
        <f t="shared" si="4"/>
        <v>0</v>
      </c>
      <c r="Q23" s="5">
        <f t="shared" si="7"/>
        <v>54.970496214574453</v>
      </c>
      <c r="R23" s="37">
        <f t="shared" si="8"/>
        <v>54.970496214574453</v>
      </c>
      <c r="S23" s="37">
        <f t="shared" si="9"/>
        <v>663.49828694961082</v>
      </c>
      <c r="T23" s="17">
        <f t="shared" si="10"/>
        <v>0.24573949549434237</v>
      </c>
    </row>
    <row r="24" spans="3:20" ht="15.6">
      <c r="C24" s="8">
        <v>12</v>
      </c>
      <c r="D24" s="5" t="s">
        <v>30</v>
      </c>
      <c r="E24" s="6">
        <v>0.02</v>
      </c>
      <c r="F24" s="6">
        <f t="shared" si="5"/>
        <v>0.25000000000000006</v>
      </c>
      <c r="G24" s="25">
        <v>0.03</v>
      </c>
      <c r="H24" s="29">
        <v>26</v>
      </c>
      <c r="I24" s="9">
        <v>800</v>
      </c>
      <c r="K24" s="8">
        <f t="shared" si="0"/>
        <v>32.186799999999998</v>
      </c>
      <c r="L24" s="22">
        <f t="shared" si="1"/>
        <v>11.62304</v>
      </c>
      <c r="M24" s="9">
        <f t="shared" si="6"/>
        <v>2.7692238863498706</v>
      </c>
      <c r="N24" s="35">
        <f t="shared" si="2"/>
        <v>30.34285682229401</v>
      </c>
      <c r="O24" s="5">
        <f t="shared" si="3"/>
        <v>22.2486876</v>
      </c>
      <c r="P24" s="15">
        <f t="shared" si="4"/>
        <v>133.49212559999998</v>
      </c>
      <c r="Q24" s="5">
        <f t="shared" si="7"/>
        <v>186.08367002229397</v>
      </c>
      <c r="R24" s="37">
        <f t="shared" si="8"/>
        <v>186.08367002229397</v>
      </c>
      <c r="S24" s="37">
        <f t="shared" si="9"/>
        <v>2162.8579400159238</v>
      </c>
      <c r="T24" s="17">
        <f t="shared" si="10"/>
        <v>1.6637327417426588</v>
      </c>
    </row>
    <row r="25" spans="3:20" ht="15.6">
      <c r="C25" s="8">
        <v>13</v>
      </c>
      <c r="D25" s="5"/>
      <c r="E25" s="6">
        <v>0.01</v>
      </c>
      <c r="F25" s="6">
        <f t="shared" si="5"/>
        <v>0.26000000000000006</v>
      </c>
      <c r="G25" s="25">
        <v>-0.01</v>
      </c>
      <c r="H25" s="29">
        <v>30</v>
      </c>
      <c r="I25" s="9">
        <v>800</v>
      </c>
      <c r="K25" s="8">
        <f t="shared" si="0"/>
        <v>16.093399999999999</v>
      </c>
      <c r="L25" s="22">
        <f t="shared" si="1"/>
        <v>13.411199999999999</v>
      </c>
      <c r="M25" s="9">
        <f t="shared" si="6"/>
        <v>1.1999970174182772</v>
      </c>
      <c r="N25" s="35">
        <f t="shared" si="2"/>
        <v>40.397294585894393</v>
      </c>
      <c r="O25" s="5">
        <f t="shared" si="3"/>
        <v>22.2486876</v>
      </c>
      <c r="P25" s="15">
        <f t="shared" si="4"/>
        <v>-44.4973752</v>
      </c>
      <c r="Q25" s="5">
        <f t="shared" si="7"/>
        <v>18.148606985894396</v>
      </c>
      <c r="R25" s="37">
        <f t="shared" si="8"/>
        <v>18.148606985894396</v>
      </c>
      <c r="S25" s="37">
        <f t="shared" si="9"/>
        <v>243.39459800922691</v>
      </c>
      <c r="T25" s="17">
        <f t="shared" si="10"/>
        <v>8.1131331018553576E-2</v>
      </c>
    </row>
    <row r="26" spans="3:20" ht="15.6">
      <c r="C26" s="8">
        <v>14</v>
      </c>
      <c r="D26" s="5"/>
      <c r="E26" s="6">
        <v>0.01</v>
      </c>
      <c r="F26" s="6">
        <f t="shared" si="5"/>
        <v>0.27000000000000007</v>
      </c>
      <c r="G26" s="25">
        <v>-0.03</v>
      </c>
      <c r="H26" s="29">
        <v>32</v>
      </c>
      <c r="I26" s="9">
        <v>800</v>
      </c>
      <c r="K26" s="8">
        <f t="shared" si="0"/>
        <v>16.093399999999999</v>
      </c>
      <c r="L26" s="22">
        <f t="shared" si="1"/>
        <v>14.30528</v>
      </c>
      <c r="M26" s="9">
        <f t="shared" si="6"/>
        <v>1.124997203829635</v>
      </c>
      <c r="N26" s="35">
        <f t="shared" si="2"/>
        <v>45.963144062173185</v>
      </c>
      <c r="O26" s="5">
        <f t="shared" si="3"/>
        <v>22.2486876</v>
      </c>
      <c r="P26" s="15">
        <f t="shared" si="4"/>
        <v>-133.49212559999998</v>
      </c>
      <c r="Q26" s="5">
        <f t="shared" si="7"/>
        <v>-65.280293937826798</v>
      </c>
      <c r="R26" s="37">
        <f t="shared" si="8"/>
        <v>0</v>
      </c>
      <c r="S26" s="37">
        <f t="shared" si="9"/>
        <v>0</v>
      </c>
      <c r="T26" s="17">
        <f t="shared" si="10"/>
        <v>0</v>
      </c>
    </row>
    <row r="27" spans="3:20" ht="15.6">
      <c r="C27" s="8">
        <v>15</v>
      </c>
      <c r="D27" s="5"/>
      <c r="E27" s="6">
        <v>0.01</v>
      </c>
      <c r="F27" s="6">
        <f t="shared" si="5"/>
        <v>0.28000000000000008</v>
      </c>
      <c r="G27" s="25">
        <v>-0.01</v>
      </c>
      <c r="H27" s="29">
        <v>32</v>
      </c>
      <c r="I27" s="9">
        <v>800</v>
      </c>
      <c r="K27" s="8">
        <f t="shared" si="0"/>
        <v>16.093399999999999</v>
      </c>
      <c r="L27" s="22">
        <f t="shared" si="1"/>
        <v>14.30528</v>
      </c>
      <c r="M27" s="9">
        <f t="shared" si="6"/>
        <v>1.124997203829635</v>
      </c>
      <c r="N27" s="35">
        <f t="shared" si="2"/>
        <v>45.963144062173185</v>
      </c>
      <c r="O27" s="5">
        <f t="shared" si="3"/>
        <v>22.2486876</v>
      </c>
      <c r="P27" s="15">
        <f t="shared" si="4"/>
        <v>-44.4973752</v>
      </c>
      <c r="Q27" s="5">
        <f t="shared" si="7"/>
        <v>23.714456462173182</v>
      </c>
      <c r="R27" s="37">
        <f t="shared" si="8"/>
        <v>23.714456462173182</v>
      </c>
      <c r="S27" s="37">
        <f t="shared" si="9"/>
        <v>339.24193973919677</v>
      </c>
      <c r="T27" s="17">
        <f t="shared" si="10"/>
        <v>0.1060128426745383</v>
      </c>
    </row>
    <row r="28" spans="3:20" ht="15.6">
      <c r="C28" s="8">
        <v>16</v>
      </c>
      <c r="D28" s="5"/>
      <c r="E28" s="6">
        <v>0.02</v>
      </c>
      <c r="F28" s="6">
        <f t="shared" si="5"/>
        <v>0.3000000000000001</v>
      </c>
      <c r="G28" s="25">
        <v>0</v>
      </c>
      <c r="H28" s="29">
        <v>34</v>
      </c>
      <c r="I28" s="9">
        <v>800</v>
      </c>
      <c r="K28" s="8">
        <f t="shared" si="0"/>
        <v>32.186799999999998</v>
      </c>
      <c r="L28" s="22">
        <f t="shared" si="1"/>
        <v>15.19936</v>
      </c>
      <c r="M28" s="9">
        <f t="shared" si="6"/>
        <v>2.1176417954440185</v>
      </c>
      <c r="N28" s="35">
        <f t="shared" si="2"/>
        <v>51.888080601437693</v>
      </c>
      <c r="O28" s="5">
        <f t="shared" si="3"/>
        <v>22.2486876</v>
      </c>
      <c r="P28" s="15">
        <f t="shared" si="4"/>
        <v>0</v>
      </c>
      <c r="Q28" s="5">
        <f t="shared" si="7"/>
        <v>74.13676820143769</v>
      </c>
      <c r="R28" s="37">
        <f t="shared" si="8"/>
        <v>74.13676820143769</v>
      </c>
      <c r="S28" s="37">
        <f t="shared" si="9"/>
        <v>1126.831429130204</v>
      </c>
      <c r="T28" s="17">
        <f t="shared" si="10"/>
        <v>0.66284036965167625</v>
      </c>
    </row>
    <row r="29" spans="3:20" ht="15.6">
      <c r="C29" s="8">
        <v>17</v>
      </c>
      <c r="D29" s="5"/>
      <c r="E29" s="6">
        <f>0.05</f>
        <v>0.05</v>
      </c>
      <c r="F29" s="6">
        <f t="shared" si="5"/>
        <v>0.35000000000000009</v>
      </c>
      <c r="G29" s="25">
        <v>-0.02</v>
      </c>
      <c r="H29" s="29">
        <v>36</v>
      </c>
      <c r="I29" s="9">
        <v>800</v>
      </c>
      <c r="K29" s="8">
        <f t="shared" si="0"/>
        <v>80.466999999999999</v>
      </c>
      <c r="L29" s="22">
        <f t="shared" si="1"/>
        <v>16.093440000000001</v>
      </c>
      <c r="M29" s="9">
        <f t="shared" si="6"/>
        <v>4.9999875725761544</v>
      </c>
      <c r="N29" s="35">
        <f t="shared" si="2"/>
        <v>58.172104203687937</v>
      </c>
      <c r="O29" s="5">
        <f t="shared" si="3"/>
        <v>22.2486876</v>
      </c>
      <c r="P29" s="15">
        <f t="shared" si="4"/>
        <v>-88.994750400000001</v>
      </c>
      <c r="Q29" s="5">
        <f t="shared" si="7"/>
        <v>-8.5739585963120675</v>
      </c>
      <c r="R29" s="37">
        <f t="shared" si="8"/>
        <v>0</v>
      </c>
      <c r="S29" s="37">
        <f t="shared" si="9"/>
        <v>0</v>
      </c>
      <c r="T29" s="17">
        <f t="shared" si="10"/>
        <v>0</v>
      </c>
    </row>
    <row r="30" spans="3:20" ht="15.6">
      <c r="C30" s="8">
        <v>18</v>
      </c>
      <c r="D30" s="5"/>
      <c r="E30" s="6">
        <v>0.01</v>
      </c>
      <c r="F30" s="6">
        <f t="shared" si="5"/>
        <v>0.3600000000000001</v>
      </c>
      <c r="G30" s="25">
        <v>-0.01</v>
      </c>
      <c r="H30" s="29">
        <v>34</v>
      </c>
      <c r="I30" s="9">
        <v>800</v>
      </c>
      <c r="K30" s="8">
        <f t="shared" si="0"/>
        <v>16.093399999999999</v>
      </c>
      <c r="L30" s="22">
        <f t="shared" si="1"/>
        <v>15.19936</v>
      </c>
      <c r="M30" s="9">
        <f t="shared" si="6"/>
        <v>1.0588208977220093</v>
      </c>
      <c r="N30" s="35">
        <f t="shared" si="2"/>
        <v>51.888080601437693</v>
      </c>
      <c r="O30" s="5">
        <f t="shared" si="3"/>
        <v>22.2486876</v>
      </c>
      <c r="P30" s="15">
        <f t="shared" si="4"/>
        <v>-44.4973752</v>
      </c>
      <c r="Q30" s="5">
        <f t="shared" si="7"/>
        <v>29.639393001437689</v>
      </c>
      <c r="R30" s="37">
        <f t="shared" si="8"/>
        <v>29.639393001437689</v>
      </c>
      <c r="S30" s="37">
        <f t="shared" si="9"/>
        <v>450.49980441033199</v>
      </c>
      <c r="T30" s="17">
        <f t="shared" si="10"/>
        <v>0.13249961314703815</v>
      </c>
    </row>
    <row r="31" spans="3:20" ht="15.6">
      <c r="C31" s="8">
        <v>19</v>
      </c>
      <c r="D31" s="5"/>
      <c r="E31" s="6">
        <v>0.08</v>
      </c>
      <c r="F31" s="6">
        <f t="shared" si="5"/>
        <v>0.44000000000000011</v>
      </c>
      <c r="G31" s="25">
        <v>0</v>
      </c>
      <c r="H31" s="29">
        <v>38</v>
      </c>
      <c r="I31" s="9">
        <v>800</v>
      </c>
      <c r="K31" s="8">
        <f t="shared" si="0"/>
        <v>128.74719999999999</v>
      </c>
      <c r="L31" s="22">
        <f t="shared" si="1"/>
        <v>16.98752</v>
      </c>
      <c r="M31" s="9">
        <f t="shared" si="6"/>
        <v>7.578928531062803</v>
      </c>
      <c r="N31" s="35">
        <f t="shared" si="2"/>
        <v>64.815214868923903</v>
      </c>
      <c r="O31" s="5">
        <f t="shared" si="3"/>
        <v>22.2486876</v>
      </c>
      <c r="P31" s="15">
        <f t="shared" si="4"/>
        <v>0</v>
      </c>
      <c r="Q31" s="5">
        <f t="shared" si="7"/>
        <v>87.063902468923899</v>
      </c>
      <c r="R31" s="37">
        <f t="shared" si="8"/>
        <v>87.063902468923899</v>
      </c>
      <c r="S31" s="37">
        <f t="shared" si="9"/>
        <v>1478.9997844688942</v>
      </c>
      <c r="T31" s="17">
        <f t="shared" si="10"/>
        <v>3.113676017763066</v>
      </c>
    </row>
    <row r="32" spans="3:20" ht="15.6">
      <c r="C32" s="8">
        <v>20</v>
      </c>
      <c r="D32" s="5" t="s">
        <v>29</v>
      </c>
      <c r="E32" s="6">
        <v>0.01</v>
      </c>
      <c r="F32" s="6">
        <f t="shared" si="5"/>
        <v>0.45000000000000012</v>
      </c>
      <c r="G32" s="25">
        <v>0</v>
      </c>
      <c r="H32" s="6">
        <v>36</v>
      </c>
      <c r="I32" s="9">
        <v>800</v>
      </c>
      <c r="K32" s="8">
        <f t="shared" si="0"/>
        <v>16.093399999999999</v>
      </c>
      <c r="L32" s="22">
        <f t="shared" si="1"/>
        <v>16.093440000000001</v>
      </c>
      <c r="M32" s="9">
        <f t="shared" si="6"/>
        <v>0.99999751451523089</v>
      </c>
      <c r="N32" s="35">
        <f t="shared" si="2"/>
        <v>58.172104203687937</v>
      </c>
      <c r="O32" s="5">
        <f t="shared" si="3"/>
        <v>22.2486876</v>
      </c>
      <c r="P32" s="15">
        <f t="shared" si="4"/>
        <v>0</v>
      </c>
      <c r="Q32" s="5">
        <f t="shared" si="7"/>
        <v>80.420791803687933</v>
      </c>
      <c r="R32" s="37">
        <f t="shared" si="8"/>
        <v>80.420791803687933</v>
      </c>
      <c r="S32" s="37">
        <f t="shared" si="9"/>
        <v>1294.2471876451436</v>
      </c>
      <c r="T32" s="17">
        <f t="shared" si="10"/>
        <v>0.35951221411485318</v>
      </c>
    </row>
    <row r="33" spans="3:20" ht="15.6">
      <c r="C33" s="8">
        <v>21</v>
      </c>
      <c r="D33" s="5"/>
      <c r="E33" s="6">
        <v>0.01</v>
      </c>
      <c r="F33" s="6">
        <f t="shared" si="5"/>
        <v>0.46000000000000013</v>
      </c>
      <c r="G33" s="25">
        <v>0.03</v>
      </c>
      <c r="H33" s="6">
        <v>32</v>
      </c>
      <c r="I33" s="9">
        <v>800</v>
      </c>
      <c r="K33" s="8">
        <f t="shared" si="0"/>
        <v>16.093399999999999</v>
      </c>
      <c r="L33" s="22">
        <f t="shared" si="1"/>
        <v>14.30528</v>
      </c>
      <c r="M33" s="9">
        <f t="shared" si="6"/>
        <v>1.124997203829635</v>
      </c>
      <c r="N33" s="35">
        <f t="shared" si="2"/>
        <v>45.963144062173185</v>
      </c>
      <c r="O33" s="5">
        <f t="shared" si="3"/>
        <v>22.2486876</v>
      </c>
      <c r="P33" s="15">
        <f t="shared" si="4"/>
        <v>133.49212559999998</v>
      </c>
      <c r="Q33" s="5">
        <f t="shared" si="7"/>
        <v>201.70395726217316</v>
      </c>
      <c r="R33" s="37">
        <f t="shared" si="8"/>
        <v>201.70395726217316</v>
      </c>
      <c r="S33" s="37">
        <f t="shared" si="9"/>
        <v>2885.4315857434203</v>
      </c>
      <c r="T33" s="17">
        <f t="shared" si="10"/>
        <v>0.90169512938973817</v>
      </c>
    </row>
    <row r="34" spans="3:20" ht="15.6">
      <c r="C34" s="8">
        <v>22</v>
      </c>
      <c r="D34" s="5"/>
      <c r="E34" s="6">
        <v>0.01</v>
      </c>
      <c r="F34" s="6">
        <f t="shared" si="5"/>
        <v>0.47000000000000014</v>
      </c>
      <c r="G34" s="25">
        <v>0.02</v>
      </c>
      <c r="H34" s="6">
        <v>32</v>
      </c>
      <c r="I34" s="9">
        <v>800</v>
      </c>
      <c r="K34" s="8">
        <f t="shared" si="0"/>
        <v>16.093399999999999</v>
      </c>
      <c r="L34" s="22">
        <f t="shared" si="1"/>
        <v>14.30528</v>
      </c>
      <c r="M34" s="9">
        <f t="shared" si="6"/>
        <v>1.124997203829635</v>
      </c>
      <c r="N34" s="35">
        <f t="shared" si="2"/>
        <v>45.963144062173185</v>
      </c>
      <c r="O34" s="5">
        <f t="shared" si="3"/>
        <v>22.2486876</v>
      </c>
      <c r="P34" s="15">
        <f t="shared" si="4"/>
        <v>88.994750400000001</v>
      </c>
      <c r="Q34" s="5">
        <f t="shared" si="7"/>
        <v>157.2065820621732</v>
      </c>
      <c r="R34" s="37">
        <f t="shared" si="8"/>
        <v>157.2065820621732</v>
      </c>
      <c r="S34" s="37">
        <f t="shared" si="9"/>
        <v>2248.8841742423651</v>
      </c>
      <c r="T34" s="17">
        <f t="shared" si="10"/>
        <v>0.70277455771093844</v>
      </c>
    </row>
    <row r="35" spans="3:20" ht="15.6">
      <c r="C35" s="8">
        <v>23</v>
      </c>
      <c r="D35" s="5"/>
      <c r="E35" s="6">
        <v>0.01</v>
      </c>
      <c r="F35" s="6">
        <f t="shared" si="5"/>
        <v>0.48000000000000015</v>
      </c>
      <c r="G35" s="25">
        <v>0</v>
      </c>
      <c r="H35" s="6">
        <v>34</v>
      </c>
      <c r="I35" s="9">
        <v>800</v>
      </c>
      <c r="K35" s="8">
        <f t="shared" si="0"/>
        <v>16.093399999999999</v>
      </c>
      <c r="L35" s="22">
        <f t="shared" si="1"/>
        <v>15.19936</v>
      </c>
      <c r="M35" s="9">
        <f t="shared" si="6"/>
        <v>1.0588208977220093</v>
      </c>
      <c r="N35" s="35">
        <f t="shared" si="2"/>
        <v>51.888080601437693</v>
      </c>
      <c r="O35" s="5">
        <f t="shared" si="3"/>
        <v>22.2486876</v>
      </c>
      <c r="P35" s="15">
        <f t="shared" si="4"/>
        <v>0</v>
      </c>
      <c r="Q35" s="5">
        <f t="shared" si="7"/>
        <v>74.13676820143769</v>
      </c>
      <c r="R35" s="37">
        <f t="shared" si="8"/>
        <v>74.13676820143769</v>
      </c>
      <c r="S35" s="37">
        <f t="shared" si="9"/>
        <v>1126.831429130204</v>
      </c>
      <c r="T35" s="17">
        <f t="shared" si="10"/>
        <v>0.33142018482583813</v>
      </c>
    </row>
    <row r="36" spans="3:20" ht="15.6">
      <c r="C36" s="8">
        <v>24</v>
      </c>
      <c r="D36" s="5"/>
      <c r="E36" s="6">
        <v>0.02</v>
      </c>
      <c r="F36" s="6">
        <f t="shared" si="5"/>
        <v>0.50000000000000011</v>
      </c>
      <c r="G36" s="25">
        <v>-0.02</v>
      </c>
      <c r="H36" s="6">
        <v>36</v>
      </c>
      <c r="I36" s="9">
        <v>800</v>
      </c>
      <c r="K36" s="8">
        <f t="shared" si="0"/>
        <v>32.186799999999998</v>
      </c>
      <c r="L36" s="22">
        <f t="shared" si="1"/>
        <v>16.093440000000001</v>
      </c>
      <c r="M36" s="9">
        <f t="shared" si="6"/>
        <v>1.9999950290304618</v>
      </c>
      <c r="N36" s="35">
        <f t="shared" si="2"/>
        <v>58.172104203687937</v>
      </c>
      <c r="O36" s="5">
        <f t="shared" si="3"/>
        <v>22.2486876</v>
      </c>
      <c r="P36" s="15">
        <f t="shared" si="4"/>
        <v>-88.994750400000001</v>
      </c>
      <c r="Q36" s="5">
        <f t="shared" si="7"/>
        <v>-8.5739585963120675</v>
      </c>
      <c r="R36" s="37">
        <f t="shared" si="8"/>
        <v>0</v>
      </c>
      <c r="S36" s="37">
        <f t="shared" si="9"/>
        <v>0</v>
      </c>
      <c r="T36" s="17">
        <f t="shared" si="10"/>
        <v>0</v>
      </c>
    </row>
    <row r="37" spans="3:20" ht="15.6">
      <c r="C37" s="8">
        <v>25</v>
      </c>
      <c r="D37" s="5"/>
      <c r="E37" s="6">
        <v>0.14000000000000001</v>
      </c>
      <c r="F37" s="6">
        <f t="shared" si="5"/>
        <v>0.64000000000000012</v>
      </c>
      <c r="G37" s="25">
        <v>0</v>
      </c>
      <c r="H37" s="6">
        <v>38</v>
      </c>
      <c r="I37" s="9">
        <v>800</v>
      </c>
      <c r="K37" s="8">
        <f t="shared" si="0"/>
        <v>225.30760000000001</v>
      </c>
      <c r="L37" s="22">
        <f t="shared" si="1"/>
        <v>16.98752</v>
      </c>
      <c r="M37" s="9">
        <f t="shared" si="6"/>
        <v>13.263124929359908</v>
      </c>
      <c r="N37" s="35">
        <f t="shared" si="2"/>
        <v>64.815214868923903</v>
      </c>
      <c r="O37" s="5">
        <f t="shared" si="3"/>
        <v>22.2486876</v>
      </c>
      <c r="P37" s="15">
        <f t="shared" si="4"/>
        <v>0</v>
      </c>
      <c r="Q37" s="5">
        <f t="shared" si="7"/>
        <v>87.063902468923899</v>
      </c>
      <c r="R37" s="37">
        <f t="shared" si="8"/>
        <v>87.063902468923899</v>
      </c>
      <c r="S37" s="37">
        <f t="shared" si="9"/>
        <v>1478.9997844688942</v>
      </c>
      <c r="T37" s="17">
        <f t="shared" si="10"/>
        <v>5.4489330310853674</v>
      </c>
    </row>
    <row r="38" spans="3:20" ht="15.6">
      <c r="C38" s="8">
        <v>26</v>
      </c>
      <c r="D38" s="5" t="s">
        <v>31</v>
      </c>
      <c r="E38" s="6">
        <v>0.09</v>
      </c>
      <c r="F38" s="6">
        <f t="shared" si="5"/>
        <v>0.73000000000000009</v>
      </c>
      <c r="G38" s="25">
        <v>0</v>
      </c>
      <c r="H38" s="6">
        <v>28</v>
      </c>
      <c r="I38" s="9">
        <v>800</v>
      </c>
      <c r="K38" s="8">
        <f t="shared" si="0"/>
        <v>144.84059999999999</v>
      </c>
      <c r="L38" s="22">
        <f t="shared" si="1"/>
        <v>12.51712</v>
      </c>
      <c r="M38" s="9">
        <f t="shared" si="6"/>
        <v>11.571399810819102</v>
      </c>
      <c r="N38" s="35">
        <f t="shared" si="2"/>
        <v>35.190532172601344</v>
      </c>
      <c r="O38" s="5">
        <f t="shared" si="3"/>
        <v>22.2486876</v>
      </c>
      <c r="P38" s="15">
        <f t="shared" si="4"/>
        <v>0</v>
      </c>
      <c r="Q38" s="5">
        <f t="shared" si="7"/>
        <v>57.439219772601348</v>
      </c>
      <c r="R38" s="37">
        <f t="shared" si="8"/>
        <v>57.439219772601348</v>
      </c>
      <c r="S38" s="37">
        <f t="shared" si="9"/>
        <v>718.9736066000238</v>
      </c>
      <c r="T38" s="17">
        <f t="shared" si="10"/>
        <v>2.310980848720956</v>
      </c>
    </row>
    <row r="39" spans="3:20" ht="15.6">
      <c r="C39" s="8">
        <v>27</v>
      </c>
      <c r="D39" s="5" t="s">
        <v>29</v>
      </c>
      <c r="E39" s="6">
        <v>0.18</v>
      </c>
      <c r="F39" s="6">
        <f t="shared" si="5"/>
        <v>0.91000000000000014</v>
      </c>
      <c r="G39" s="25">
        <v>0</v>
      </c>
      <c r="H39" s="6">
        <v>38</v>
      </c>
      <c r="I39" s="9">
        <v>800</v>
      </c>
      <c r="K39" s="8">
        <f t="shared" si="0"/>
        <v>289.68119999999999</v>
      </c>
      <c r="L39" s="22">
        <f t="shared" si="1"/>
        <v>16.98752</v>
      </c>
      <c r="M39" s="9">
        <f t="shared" si="6"/>
        <v>17.052589194891308</v>
      </c>
      <c r="N39" s="35">
        <f t="shared" si="2"/>
        <v>64.815214868923903</v>
      </c>
      <c r="O39" s="5">
        <f t="shared" si="3"/>
        <v>22.2486876</v>
      </c>
      <c r="P39" s="15">
        <f t="shared" si="4"/>
        <v>0</v>
      </c>
      <c r="Q39" s="5">
        <f t="shared" si="7"/>
        <v>87.063902468923899</v>
      </c>
      <c r="R39" s="37">
        <f t="shared" si="8"/>
        <v>87.063902468923899</v>
      </c>
      <c r="S39" s="37">
        <f t="shared" si="9"/>
        <v>1478.9997844688942</v>
      </c>
      <c r="T39" s="17">
        <f t="shared" si="10"/>
        <v>7.0057710399668993</v>
      </c>
    </row>
    <row r="40" spans="3:20" ht="15.6">
      <c r="C40" s="8">
        <v>28</v>
      </c>
      <c r="D40" s="5" t="s">
        <v>32</v>
      </c>
      <c r="E40" s="6">
        <v>0.1</v>
      </c>
      <c r="F40" s="6">
        <f t="shared" si="5"/>
        <v>1.0100000000000002</v>
      </c>
      <c r="G40" s="25">
        <v>0</v>
      </c>
      <c r="H40" s="6">
        <v>28</v>
      </c>
      <c r="I40" s="9">
        <v>800</v>
      </c>
      <c r="K40" s="8">
        <f t="shared" si="0"/>
        <v>160.934</v>
      </c>
      <c r="L40" s="22">
        <f t="shared" si="1"/>
        <v>12.51712</v>
      </c>
      <c r="M40" s="9">
        <f t="shared" si="6"/>
        <v>12.857110900910113</v>
      </c>
      <c r="N40" s="35">
        <f t="shared" si="2"/>
        <v>35.190532172601344</v>
      </c>
      <c r="O40" s="5">
        <f t="shared" si="3"/>
        <v>22.2486876</v>
      </c>
      <c r="P40" s="15">
        <f t="shared" si="4"/>
        <v>0</v>
      </c>
      <c r="Q40" s="5">
        <f t="shared" si="7"/>
        <v>57.439219772601348</v>
      </c>
      <c r="R40" s="37">
        <f t="shared" si="8"/>
        <v>57.439219772601348</v>
      </c>
      <c r="S40" s="37">
        <f t="shared" si="9"/>
        <v>718.9736066000238</v>
      </c>
      <c r="T40" s="17">
        <f t="shared" si="10"/>
        <v>2.5677564985788401</v>
      </c>
    </row>
    <row r="41" spans="3:20" ht="15.6">
      <c r="C41" s="8">
        <v>29</v>
      </c>
      <c r="D41" s="5" t="s">
        <v>33</v>
      </c>
      <c r="E41" s="6">
        <v>0.09</v>
      </c>
      <c r="F41" s="6">
        <f t="shared" si="5"/>
        <v>1.1000000000000003</v>
      </c>
      <c r="G41" s="25">
        <v>0</v>
      </c>
      <c r="H41" s="6">
        <v>28</v>
      </c>
      <c r="I41" s="9">
        <v>800</v>
      </c>
      <c r="K41" s="8">
        <f t="shared" si="0"/>
        <v>144.84059999999999</v>
      </c>
      <c r="L41" s="22">
        <f t="shared" si="1"/>
        <v>12.51712</v>
      </c>
      <c r="M41" s="9">
        <f t="shared" si="6"/>
        <v>11.571399810819102</v>
      </c>
      <c r="N41" s="35">
        <f t="shared" si="2"/>
        <v>35.190532172601344</v>
      </c>
      <c r="O41" s="5">
        <f t="shared" si="3"/>
        <v>22.2486876</v>
      </c>
      <c r="P41" s="15">
        <f t="shared" si="4"/>
        <v>0</v>
      </c>
      <c r="Q41" s="5">
        <f t="shared" si="7"/>
        <v>57.439219772601348</v>
      </c>
      <c r="R41" s="37">
        <f t="shared" si="8"/>
        <v>57.439219772601348</v>
      </c>
      <c r="S41" s="37">
        <f t="shared" si="9"/>
        <v>718.9736066000238</v>
      </c>
      <c r="T41" s="17">
        <f t="shared" si="10"/>
        <v>2.310980848720956</v>
      </c>
    </row>
    <row r="42" spans="3:20" ht="15.6">
      <c r="C42" s="8">
        <v>30</v>
      </c>
      <c r="D42" s="5" t="s">
        <v>34</v>
      </c>
      <c r="E42" s="6">
        <v>0.1</v>
      </c>
      <c r="F42" s="6">
        <f t="shared" si="5"/>
        <v>1.2000000000000004</v>
      </c>
      <c r="G42" s="25">
        <v>0</v>
      </c>
      <c r="H42" s="6">
        <v>32</v>
      </c>
      <c r="I42" s="9">
        <v>800</v>
      </c>
      <c r="K42" s="8">
        <f t="shared" si="0"/>
        <v>160.934</v>
      </c>
      <c r="L42" s="22">
        <f t="shared" si="1"/>
        <v>14.30528</v>
      </c>
      <c r="M42" s="9">
        <f t="shared" si="6"/>
        <v>11.249972038296349</v>
      </c>
      <c r="N42" s="35">
        <f t="shared" si="2"/>
        <v>45.963144062173185</v>
      </c>
      <c r="O42" s="5">
        <f t="shared" si="3"/>
        <v>22.2486876</v>
      </c>
      <c r="P42" s="15">
        <f t="shared" si="4"/>
        <v>0</v>
      </c>
      <c r="Q42" s="5">
        <f t="shared" si="7"/>
        <v>68.211831662173182</v>
      </c>
      <c r="R42" s="37">
        <f t="shared" si="8"/>
        <v>68.211831662173182</v>
      </c>
      <c r="S42" s="37">
        <f t="shared" si="9"/>
        <v>975.78935124025281</v>
      </c>
      <c r="T42" s="17">
        <f t="shared" si="10"/>
        <v>3.0493341435333834</v>
      </c>
    </row>
    <row r="43" spans="3:20" ht="15.6">
      <c r="C43" s="8">
        <v>31</v>
      </c>
      <c r="D43" s="5" t="s">
        <v>35</v>
      </c>
      <c r="E43" s="6">
        <v>7.0000000000000007E-2</v>
      </c>
      <c r="F43" s="6">
        <f t="shared" si="5"/>
        <v>1.2700000000000005</v>
      </c>
      <c r="G43" s="25">
        <v>0</v>
      </c>
      <c r="H43" s="6">
        <v>28</v>
      </c>
      <c r="I43" s="9">
        <v>800</v>
      </c>
      <c r="K43" s="8">
        <f t="shared" si="0"/>
        <v>112.6538</v>
      </c>
      <c r="L43" s="22">
        <f t="shared" si="1"/>
        <v>12.51712</v>
      </c>
      <c r="M43" s="9">
        <f t="shared" si="6"/>
        <v>8.9999776306370798</v>
      </c>
      <c r="N43" s="35">
        <f t="shared" si="2"/>
        <v>35.190532172601344</v>
      </c>
      <c r="O43" s="5">
        <f t="shared" si="3"/>
        <v>22.2486876</v>
      </c>
      <c r="P43" s="15">
        <f t="shared" si="4"/>
        <v>0</v>
      </c>
      <c r="Q43" s="5">
        <f t="shared" si="7"/>
        <v>57.439219772601348</v>
      </c>
      <c r="R43" s="37">
        <f t="shared" si="8"/>
        <v>57.439219772601348</v>
      </c>
      <c r="S43" s="37">
        <f t="shared" si="9"/>
        <v>718.9736066000238</v>
      </c>
      <c r="T43" s="17">
        <f t="shared" si="10"/>
        <v>1.7974295490051884</v>
      </c>
    </row>
    <row r="44" spans="3:20" ht="15.6">
      <c r="C44" s="8">
        <v>32</v>
      </c>
      <c r="D44" s="5" t="s">
        <v>29</v>
      </c>
      <c r="E44" s="6">
        <v>0.14000000000000001</v>
      </c>
      <c r="F44" s="6">
        <f t="shared" si="5"/>
        <v>1.4100000000000006</v>
      </c>
      <c r="G44" s="25">
        <v>0</v>
      </c>
      <c r="H44" s="6">
        <v>38</v>
      </c>
      <c r="I44" s="9">
        <v>800</v>
      </c>
      <c r="K44" s="8">
        <f t="shared" si="0"/>
        <v>225.30760000000001</v>
      </c>
      <c r="L44" s="22">
        <f t="shared" si="1"/>
        <v>16.98752</v>
      </c>
      <c r="M44" s="9">
        <f t="shared" si="6"/>
        <v>13.263124929359908</v>
      </c>
      <c r="N44" s="35">
        <f t="shared" si="2"/>
        <v>64.815214868923903</v>
      </c>
      <c r="O44" s="5">
        <f t="shared" si="3"/>
        <v>22.2486876</v>
      </c>
      <c r="P44" s="15">
        <f t="shared" si="4"/>
        <v>0</v>
      </c>
      <c r="Q44" s="5">
        <f t="shared" si="7"/>
        <v>87.063902468923899</v>
      </c>
      <c r="R44" s="37">
        <f t="shared" si="8"/>
        <v>87.063902468923899</v>
      </c>
      <c r="S44" s="37">
        <f t="shared" si="9"/>
        <v>1478.9997844688942</v>
      </c>
      <c r="T44" s="17">
        <f t="shared" si="10"/>
        <v>5.4489330310853674</v>
      </c>
    </row>
    <row r="45" spans="3:20" ht="15.6">
      <c r="C45" s="8">
        <v>33</v>
      </c>
      <c r="D45" s="5" t="s">
        <v>36</v>
      </c>
      <c r="E45" s="6">
        <v>7.0000000000000007E-2</v>
      </c>
      <c r="F45" s="6">
        <f t="shared" si="5"/>
        <v>1.4800000000000006</v>
      </c>
      <c r="G45" s="25">
        <v>0</v>
      </c>
      <c r="H45" s="6">
        <v>28</v>
      </c>
      <c r="I45" s="9">
        <v>800</v>
      </c>
      <c r="K45" s="8">
        <f t="shared" ref="K45:K76" si="11">1609.34*E45</f>
        <v>112.6538</v>
      </c>
      <c r="L45" s="22">
        <f t="shared" ref="L45:L76" si="12">0.44704*H45</f>
        <v>12.51712</v>
      </c>
      <c r="M45" s="9">
        <f t="shared" si="6"/>
        <v>8.9999776306370798</v>
      </c>
      <c r="N45" s="35">
        <f t="shared" ref="N45:N76" si="13">0.5*rho*CdA*(L45^2)</f>
        <v>35.190532172601344</v>
      </c>
      <c r="O45" s="5">
        <f t="shared" ref="O45:O76" si="14">Crr*m*g</f>
        <v>22.2486876</v>
      </c>
      <c r="P45" s="15">
        <f t="shared" ref="P45:P76" si="15">m * g * G45</f>
        <v>0</v>
      </c>
      <c r="Q45" s="5">
        <f t="shared" si="7"/>
        <v>57.439219772601348</v>
      </c>
      <c r="R45" s="37">
        <f t="shared" si="8"/>
        <v>57.439219772601348</v>
      </c>
      <c r="S45" s="37">
        <f t="shared" si="9"/>
        <v>718.9736066000238</v>
      </c>
      <c r="T45" s="17">
        <f t="shared" si="10"/>
        <v>1.7974295490051884</v>
      </c>
    </row>
    <row r="46" spans="3:20" ht="15.6">
      <c r="C46" s="8">
        <v>34</v>
      </c>
      <c r="D46" s="5" t="s">
        <v>37</v>
      </c>
      <c r="E46" s="6">
        <v>0.06</v>
      </c>
      <c r="F46" s="6">
        <f t="shared" ref="F46:F77" si="16">F45+E46</f>
        <v>1.5400000000000007</v>
      </c>
      <c r="G46" s="25">
        <v>0</v>
      </c>
      <c r="H46" s="6">
        <v>28</v>
      </c>
      <c r="I46" s="9">
        <v>800</v>
      </c>
      <c r="K46" s="8">
        <f t="shared" si="11"/>
        <v>96.560399999999987</v>
      </c>
      <c r="L46" s="22">
        <f t="shared" si="12"/>
        <v>12.51712</v>
      </c>
      <c r="M46" s="9">
        <f t="shared" si="6"/>
        <v>7.7142665405460669</v>
      </c>
      <c r="N46" s="35">
        <f t="shared" si="13"/>
        <v>35.190532172601344</v>
      </c>
      <c r="O46" s="5">
        <f t="shared" si="14"/>
        <v>22.2486876</v>
      </c>
      <c r="P46" s="15">
        <f t="shared" si="15"/>
        <v>0</v>
      </c>
      <c r="Q46" s="5">
        <f t="shared" si="7"/>
        <v>57.439219772601348</v>
      </c>
      <c r="R46" s="37">
        <f t="shared" si="8"/>
        <v>57.439219772601348</v>
      </c>
      <c r="S46" s="37">
        <f t="shared" si="9"/>
        <v>718.9736066000238</v>
      </c>
      <c r="T46" s="17">
        <f t="shared" si="10"/>
        <v>1.540653899147304</v>
      </c>
    </row>
    <row r="47" spans="3:20" ht="15.6">
      <c r="C47" s="8">
        <v>35</v>
      </c>
      <c r="D47" s="5" t="s">
        <v>29</v>
      </c>
      <c r="E47" s="6">
        <v>7.0000000000000007E-2</v>
      </c>
      <c r="F47" s="6">
        <f t="shared" si="16"/>
        <v>1.6100000000000008</v>
      </c>
      <c r="G47" s="25">
        <v>0</v>
      </c>
      <c r="H47" s="6">
        <v>36</v>
      </c>
      <c r="I47" s="9">
        <v>800</v>
      </c>
      <c r="K47" s="8">
        <f t="shared" si="11"/>
        <v>112.6538</v>
      </c>
      <c r="L47" s="22">
        <f t="shared" si="12"/>
        <v>16.093440000000001</v>
      </c>
      <c r="M47" s="9">
        <f t="shared" si="6"/>
        <v>6.9999826016066171</v>
      </c>
      <c r="N47" s="35">
        <f t="shared" si="13"/>
        <v>58.172104203687937</v>
      </c>
      <c r="O47" s="5">
        <f t="shared" si="14"/>
        <v>22.2486876</v>
      </c>
      <c r="P47" s="15">
        <f t="shared" si="15"/>
        <v>0</v>
      </c>
      <c r="Q47" s="5">
        <f t="shared" si="7"/>
        <v>80.420791803687933</v>
      </c>
      <c r="R47" s="37">
        <f t="shared" si="8"/>
        <v>80.420791803687933</v>
      </c>
      <c r="S47" s="37">
        <f t="shared" si="9"/>
        <v>1294.2471876451436</v>
      </c>
      <c r="T47" s="17">
        <f t="shared" si="10"/>
        <v>2.516585498803972</v>
      </c>
    </row>
    <row r="48" spans="3:20" ht="15.6">
      <c r="C48" s="8">
        <v>36</v>
      </c>
      <c r="D48" s="5"/>
      <c r="E48" s="6">
        <v>0.01</v>
      </c>
      <c r="F48" s="6">
        <f t="shared" si="16"/>
        <v>1.6200000000000008</v>
      </c>
      <c r="G48" s="25">
        <v>0.01</v>
      </c>
      <c r="H48" s="6">
        <v>34</v>
      </c>
      <c r="I48" s="9">
        <v>800</v>
      </c>
      <c r="K48" s="8">
        <f t="shared" si="11"/>
        <v>16.093399999999999</v>
      </c>
      <c r="L48" s="22">
        <f t="shared" si="12"/>
        <v>15.19936</v>
      </c>
      <c r="M48" s="9">
        <f t="shared" si="6"/>
        <v>1.0588208977220093</v>
      </c>
      <c r="N48" s="35">
        <f t="shared" si="13"/>
        <v>51.888080601437693</v>
      </c>
      <c r="O48" s="5">
        <f t="shared" si="14"/>
        <v>22.2486876</v>
      </c>
      <c r="P48" s="15">
        <f t="shared" si="15"/>
        <v>44.4973752</v>
      </c>
      <c r="Q48" s="5">
        <f t="shared" si="7"/>
        <v>118.63414340143768</v>
      </c>
      <c r="R48" s="37">
        <f t="shared" si="8"/>
        <v>118.63414340143768</v>
      </c>
      <c r="S48" s="37">
        <f t="shared" si="9"/>
        <v>1803.1630538500758</v>
      </c>
      <c r="T48" s="17">
        <f t="shared" si="10"/>
        <v>0.53034075650463808</v>
      </c>
    </row>
    <row r="49" spans="3:20" ht="15.6">
      <c r="C49" s="8">
        <v>37</v>
      </c>
      <c r="D49" s="5"/>
      <c r="E49" s="6">
        <v>0.03</v>
      </c>
      <c r="F49" s="6">
        <f t="shared" si="16"/>
        <v>1.6500000000000008</v>
      </c>
      <c r="G49" s="25">
        <v>0.02</v>
      </c>
      <c r="H49" s="6">
        <v>32</v>
      </c>
      <c r="I49" s="9">
        <v>800</v>
      </c>
      <c r="K49" s="8">
        <f t="shared" si="11"/>
        <v>48.280199999999994</v>
      </c>
      <c r="L49" s="22">
        <f t="shared" si="12"/>
        <v>14.30528</v>
      </c>
      <c r="M49" s="9">
        <f t="shared" si="6"/>
        <v>3.3749916114889045</v>
      </c>
      <c r="N49" s="35">
        <f t="shared" si="13"/>
        <v>45.963144062173185</v>
      </c>
      <c r="O49" s="5">
        <f t="shared" si="14"/>
        <v>22.2486876</v>
      </c>
      <c r="P49" s="15">
        <f t="shared" si="15"/>
        <v>88.994750400000001</v>
      </c>
      <c r="Q49" s="5">
        <f t="shared" si="7"/>
        <v>157.2065820621732</v>
      </c>
      <c r="R49" s="37">
        <f t="shared" si="8"/>
        <v>157.2065820621732</v>
      </c>
      <c r="S49" s="37">
        <f t="shared" si="9"/>
        <v>2248.8841742423651</v>
      </c>
      <c r="T49" s="17">
        <f t="shared" si="10"/>
        <v>2.1083236731328152</v>
      </c>
    </row>
    <row r="50" spans="3:20" ht="15.6">
      <c r="C50" s="8">
        <v>38</v>
      </c>
      <c r="D50" s="5" t="s">
        <v>38</v>
      </c>
      <c r="E50" s="6">
        <v>0.02</v>
      </c>
      <c r="F50" s="6">
        <f t="shared" si="16"/>
        <v>1.6700000000000008</v>
      </c>
      <c r="G50" s="25">
        <v>0</v>
      </c>
      <c r="H50" s="6">
        <v>26</v>
      </c>
      <c r="I50" s="9">
        <v>800</v>
      </c>
      <c r="K50" s="8">
        <f t="shared" si="11"/>
        <v>32.186799999999998</v>
      </c>
      <c r="L50" s="22">
        <f t="shared" si="12"/>
        <v>11.62304</v>
      </c>
      <c r="M50" s="9">
        <f t="shared" si="6"/>
        <v>2.7692238863498706</v>
      </c>
      <c r="N50" s="35">
        <f t="shared" si="13"/>
        <v>30.34285682229401</v>
      </c>
      <c r="O50" s="5">
        <f t="shared" si="14"/>
        <v>22.2486876</v>
      </c>
      <c r="P50" s="15">
        <f t="shared" si="15"/>
        <v>0</v>
      </c>
      <c r="Q50" s="5">
        <f t="shared" si="7"/>
        <v>52.591544422294007</v>
      </c>
      <c r="R50" s="37">
        <f t="shared" si="8"/>
        <v>52.591544422294007</v>
      </c>
      <c r="S50" s="37">
        <f t="shared" si="9"/>
        <v>611.2736244821001</v>
      </c>
      <c r="T50" s="17">
        <f t="shared" si="10"/>
        <v>0.47020931166985908</v>
      </c>
    </row>
    <row r="51" spans="3:20" ht="15.6">
      <c r="C51" s="8">
        <v>39</v>
      </c>
      <c r="D51" s="5"/>
      <c r="E51" s="6">
        <v>0.01</v>
      </c>
      <c r="F51" s="6">
        <f t="shared" si="16"/>
        <v>1.6800000000000008</v>
      </c>
      <c r="G51" s="25">
        <v>0.01</v>
      </c>
      <c r="H51" s="6">
        <v>32</v>
      </c>
      <c r="I51" s="9">
        <v>800</v>
      </c>
      <c r="K51" s="8">
        <f t="shared" si="11"/>
        <v>16.093399999999999</v>
      </c>
      <c r="L51" s="22">
        <f t="shared" si="12"/>
        <v>14.30528</v>
      </c>
      <c r="M51" s="9">
        <f t="shared" si="6"/>
        <v>1.124997203829635</v>
      </c>
      <c r="N51" s="35">
        <f t="shared" si="13"/>
        <v>45.963144062173185</v>
      </c>
      <c r="O51" s="5">
        <f t="shared" si="14"/>
        <v>22.2486876</v>
      </c>
      <c r="P51" s="15">
        <f t="shared" si="15"/>
        <v>44.4973752</v>
      </c>
      <c r="Q51" s="5">
        <f t="shared" si="7"/>
        <v>112.70920686217318</v>
      </c>
      <c r="R51" s="37">
        <f t="shared" si="8"/>
        <v>112.70920686217318</v>
      </c>
      <c r="S51" s="37">
        <f t="shared" si="9"/>
        <v>1612.3367627413086</v>
      </c>
      <c r="T51" s="17">
        <f t="shared" si="10"/>
        <v>0.50385398603213827</v>
      </c>
    </row>
    <row r="52" spans="3:20" ht="15.6">
      <c r="C52" s="8">
        <v>40</v>
      </c>
      <c r="D52" s="5"/>
      <c r="E52" s="6">
        <v>0.01</v>
      </c>
      <c r="F52" s="6">
        <f t="shared" si="16"/>
        <v>1.6900000000000008</v>
      </c>
      <c r="G52" s="25">
        <v>0.04</v>
      </c>
      <c r="H52" s="6">
        <v>28</v>
      </c>
      <c r="I52" s="9">
        <v>800</v>
      </c>
      <c r="K52" s="8">
        <f t="shared" si="11"/>
        <v>16.093399999999999</v>
      </c>
      <c r="L52" s="22">
        <f t="shared" si="12"/>
        <v>12.51712</v>
      </c>
      <c r="M52" s="9">
        <f t="shared" si="6"/>
        <v>1.2857110900910111</v>
      </c>
      <c r="N52" s="35">
        <f t="shared" si="13"/>
        <v>35.190532172601344</v>
      </c>
      <c r="O52" s="5">
        <f t="shared" si="14"/>
        <v>22.2486876</v>
      </c>
      <c r="P52" s="15">
        <f t="shared" si="15"/>
        <v>177.9895008</v>
      </c>
      <c r="Q52" s="5">
        <f t="shared" si="7"/>
        <v>235.42872057260135</v>
      </c>
      <c r="R52" s="37">
        <f t="shared" si="8"/>
        <v>235.42872057260135</v>
      </c>
      <c r="S52" s="37">
        <f t="shared" si="9"/>
        <v>2946.8895468537198</v>
      </c>
      <c r="T52" s="17">
        <f t="shared" si="10"/>
        <v>1.052457936573084</v>
      </c>
    </row>
    <row r="53" spans="3:20" ht="15.6">
      <c r="C53" s="8">
        <v>41</v>
      </c>
      <c r="D53" s="5"/>
      <c r="E53" s="6">
        <v>0.01</v>
      </c>
      <c r="F53" s="6">
        <f t="shared" si="16"/>
        <v>1.7000000000000008</v>
      </c>
      <c r="G53" s="25">
        <v>0.01</v>
      </c>
      <c r="H53" s="6">
        <v>32</v>
      </c>
      <c r="I53" s="9">
        <v>800</v>
      </c>
      <c r="K53" s="8">
        <f t="shared" si="11"/>
        <v>16.093399999999999</v>
      </c>
      <c r="L53" s="22">
        <f t="shared" si="12"/>
        <v>14.30528</v>
      </c>
      <c r="M53" s="9">
        <f t="shared" si="6"/>
        <v>1.124997203829635</v>
      </c>
      <c r="N53" s="35">
        <f t="shared" si="13"/>
        <v>45.963144062173185</v>
      </c>
      <c r="O53" s="5">
        <f t="shared" si="14"/>
        <v>22.2486876</v>
      </c>
      <c r="P53" s="15">
        <f t="shared" si="15"/>
        <v>44.4973752</v>
      </c>
      <c r="Q53" s="5">
        <f t="shared" si="7"/>
        <v>112.70920686217318</v>
      </c>
      <c r="R53" s="37">
        <f t="shared" si="8"/>
        <v>112.70920686217318</v>
      </c>
      <c r="S53" s="37">
        <f t="shared" si="9"/>
        <v>1612.3367627413086</v>
      </c>
      <c r="T53" s="17">
        <f t="shared" si="10"/>
        <v>0.50385398603213827</v>
      </c>
    </row>
    <row r="54" spans="3:20" ht="15.6">
      <c r="C54" s="8">
        <v>42</v>
      </c>
      <c r="D54" s="5"/>
      <c r="E54" s="6">
        <v>0.02</v>
      </c>
      <c r="F54" s="6">
        <f t="shared" si="16"/>
        <v>1.7200000000000009</v>
      </c>
      <c r="G54" s="25">
        <v>0</v>
      </c>
      <c r="H54" s="6">
        <v>34</v>
      </c>
      <c r="I54" s="9">
        <v>800</v>
      </c>
      <c r="K54" s="8">
        <f t="shared" si="11"/>
        <v>32.186799999999998</v>
      </c>
      <c r="L54" s="22">
        <f t="shared" si="12"/>
        <v>15.19936</v>
      </c>
      <c r="M54" s="9">
        <f t="shared" si="6"/>
        <v>2.1176417954440185</v>
      </c>
      <c r="N54" s="35">
        <f t="shared" si="13"/>
        <v>51.888080601437693</v>
      </c>
      <c r="O54" s="5">
        <f t="shared" si="14"/>
        <v>22.2486876</v>
      </c>
      <c r="P54" s="15">
        <f t="shared" si="15"/>
        <v>0</v>
      </c>
      <c r="Q54" s="5">
        <f t="shared" si="7"/>
        <v>74.13676820143769</v>
      </c>
      <c r="R54" s="37">
        <f t="shared" si="8"/>
        <v>74.13676820143769</v>
      </c>
      <c r="S54" s="37">
        <f t="shared" si="9"/>
        <v>1126.831429130204</v>
      </c>
      <c r="T54" s="17">
        <f t="shared" si="10"/>
        <v>0.66284036965167625</v>
      </c>
    </row>
    <row r="55" spans="3:20" ht="15.6">
      <c r="C55" s="8">
        <v>43</v>
      </c>
      <c r="D55" s="5" t="s">
        <v>29</v>
      </c>
      <c r="E55" s="6">
        <v>0.09</v>
      </c>
      <c r="F55" s="6">
        <f t="shared" si="16"/>
        <v>1.8100000000000009</v>
      </c>
      <c r="G55" s="25">
        <v>0</v>
      </c>
      <c r="H55" s="6">
        <v>38</v>
      </c>
      <c r="I55" s="9">
        <v>800</v>
      </c>
      <c r="K55" s="8">
        <f t="shared" si="11"/>
        <v>144.84059999999999</v>
      </c>
      <c r="L55" s="22">
        <f t="shared" si="12"/>
        <v>16.98752</v>
      </c>
      <c r="M55" s="9">
        <f t="shared" si="6"/>
        <v>8.5262945974456539</v>
      </c>
      <c r="N55" s="35">
        <f t="shared" si="13"/>
        <v>64.815214868923903</v>
      </c>
      <c r="O55" s="5">
        <f t="shared" si="14"/>
        <v>22.2486876</v>
      </c>
      <c r="P55" s="15">
        <f t="shared" si="15"/>
        <v>0</v>
      </c>
      <c r="Q55" s="5">
        <f t="shared" si="7"/>
        <v>87.063902468923899</v>
      </c>
      <c r="R55" s="37">
        <f t="shared" si="8"/>
        <v>87.063902468923899</v>
      </c>
      <c r="S55" s="37">
        <f t="shared" si="9"/>
        <v>1478.9997844688942</v>
      </c>
      <c r="T55" s="17">
        <f t="shared" si="10"/>
        <v>3.5028855199834497</v>
      </c>
    </row>
    <row r="56" spans="3:20" ht="15.6">
      <c r="C56" s="8">
        <v>44</v>
      </c>
      <c r="D56" s="5"/>
      <c r="E56" s="6">
        <v>0.02</v>
      </c>
      <c r="F56" s="6">
        <f t="shared" si="16"/>
        <v>1.830000000000001</v>
      </c>
      <c r="G56" s="25">
        <v>-0.04</v>
      </c>
      <c r="H56" s="6">
        <v>38</v>
      </c>
      <c r="I56" s="9">
        <v>800</v>
      </c>
      <c r="K56" s="8">
        <f t="shared" si="11"/>
        <v>32.186799999999998</v>
      </c>
      <c r="L56" s="22">
        <f t="shared" si="12"/>
        <v>16.98752</v>
      </c>
      <c r="M56" s="9">
        <f t="shared" si="6"/>
        <v>1.8947321327657007</v>
      </c>
      <c r="N56" s="35">
        <f t="shared" si="13"/>
        <v>64.815214868923903</v>
      </c>
      <c r="O56" s="5">
        <f t="shared" si="14"/>
        <v>22.2486876</v>
      </c>
      <c r="P56" s="15">
        <f t="shared" si="15"/>
        <v>-177.9895008</v>
      </c>
      <c r="Q56" s="5">
        <f t="shared" si="7"/>
        <v>-90.925598331076102</v>
      </c>
      <c r="R56" s="37">
        <f t="shared" si="8"/>
        <v>0</v>
      </c>
      <c r="S56" s="37">
        <f t="shared" si="9"/>
        <v>0</v>
      </c>
      <c r="T56" s="17">
        <f t="shared" si="10"/>
        <v>0</v>
      </c>
    </row>
    <row r="57" spans="3:20" ht="15.6">
      <c r="C57" s="8">
        <v>45</v>
      </c>
      <c r="D57" s="5"/>
      <c r="E57" s="6">
        <v>0.18</v>
      </c>
      <c r="F57" s="6">
        <f t="shared" si="16"/>
        <v>2.0100000000000011</v>
      </c>
      <c r="G57" s="25">
        <v>0</v>
      </c>
      <c r="H57" s="6">
        <v>38</v>
      </c>
      <c r="I57" s="9">
        <v>800</v>
      </c>
      <c r="K57" s="8">
        <f t="shared" si="11"/>
        <v>289.68119999999999</v>
      </c>
      <c r="L57" s="22">
        <f t="shared" si="12"/>
        <v>16.98752</v>
      </c>
      <c r="M57" s="9">
        <f t="shared" si="6"/>
        <v>17.052589194891308</v>
      </c>
      <c r="N57" s="35">
        <f t="shared" si="13"/>
        <v>64.815214868923903</v>
      </c>
      <c r="O57" s="5">
        <f t="shared" si="14"/>
        <v>22.2486876</v>
      </c>
      <c r="P57" s="15">
        <f t="shared" si="15"/>
        <v>0</v>
      </c>
      <c r="Q57" s="5">
        <f t="shared" si="7"/>
        <v>87.063902468923899</v>
      </c>
      <c r="R57" s="37">
        <f t="shared" si="8"/>
        <v>87.063902468923899</v>
      </c>
      <c r="S57" s="37">
        <f t="shared" si="9"/>
        <v>1478.9997844688942</v>
      </c>
      <c r="T57" s="17">
        <f t="shared" si="10"/>
        <v>7.0057710399668993</v>
      </c>
    </row>
    <row r="58" spans="3:20" ht="15.6">
      <c r="C58" s="8">
        <v>46</v>
      </c>
      <c r="D58" s="5"/>
      <c r="E58" s="6">
        <v>0.01</v>
      </c>
      <c r="F58" s="6">
        <f t="shared" si="16"/>
        <v>2.0200000000000009</v>
      </c>
      <c r="G58" s="25">
        <v>0.03</v>
      </c>
      <c r="H58" s="6">
        <v>32</v>
      </c>
      <c r="I58" s="9">
        <v>800</v>
      </c>
      <c r="K58" s="8">
        <f t="shared" si="11"/>
        <v>16.093399999999999</v>
      </c>
      <c r="L58" s="22">
        <f t="shared" si="12"/>
        <v>14.30528</v>
      </c>
      <c r="M58" s="9">
        <f t="shared" si="6"/>
        <v>1.124997203829635</v>
      </c>
      <c r="N58" s="35">
        <f t="shared" si="13"/>
        <v>45.963144062173185</v>
      </c>
      <c r="O58" s="5">
        <f t="shared" si="14"/>
        <v>22.2486876</v>
      </c>
      <c r="P58" s="15">
        <f t="shared" si="15"/>
        <v>133.49212559999998</v>
      </c>
      <c r="Q58" s="5">
        <f t="shared" si="7"/>
        <v>201.70395726217316</v>
      </c>
      <c r="R58" s="37">
        <f t="shared" si="8"/>
        <v>201.70395726217316</v>
      </c>
      <c r="S58" s="37">
        <f t="shared" si="9"/>
        <v>2885.4315857434203</v>
      </c>
      <c r="T58" s="17">
        <f t="shared" si="10"/>
        <v>0.90169512938973817</v>
      </c>
    </row>
    <row r="59" spans="3:20" ht="15.6">
      <c r="C59" s="8">
        <v>47</v>
      </c>
      <c r="D59" s="5"/>
      <c r="E59" s="6">
        <v>0.02</v>
      </c>
      <c r="F59" s="6">
        <f t="shared" si="16"/>
        <v>2.0400000000000009</v>
      </c>
      <c r="G59" s="25">
        <v>0.01</v>
      </c>
      <c r="H59" s="6">
        <v>34</v>
      </c>
      <c r="I59" s="9">
        <v>800</v>
      </c>
      <c r="K59" s="8">
        <f t="shared" si="11"/>
        <v>32.186799999999998</v>
      </c>
      <c r="L59" s="22">
        <f t="shared" si="12"/>
        <v>15.19936</v>
      </c>
      <c r="M59" s="9">
        <f t="shared" si="6"/>
        <v>2.1176417954440185</v>
      </c>
      <c r="N59" s="35">
        <f t="shared" si="13"/>
        <v>51.888080601437693</v>
      </c>
      <c r="O59" s="5">
        <f t="shared" si="14"/>
        <v>22.2486876</v>
      </c>
      <c r="P59" s="15">
        <f t="shared" si="15"/>
        <v>44.4973752</v>
      </c>
      <c r="Q59" s="5">
        <f t="shared" si="7"/>
        <v>118.63414340143768</v>
      </c>
      <c r="R59" s="37">
        <f t="shared" si="8"/>
        <v>118.63414340143768</v>
      </c>
      <c r="S59" s="37">
        <f t="shared" si="9"/>
        <v>1803.1630538500758</v>
      </c>
      <c r="T59" s="17">
        <f t="shared" si="10"/>
        <v>1.0606815130092762</v>
      </c>
    </row>
    <row r="60" spans="3:20" ht="15.6">
      <c r="C60" s="8">
        <v>48</v>
      </c>
      <c r="D60" s="5"/>
      <c r="E60" s="6">
        <v>0.01</v>
      </c>
      <c r="F60" s="6">
        <f t="shared" si="16"/>
        <v>2.0500000000000007</v>
      </c>
      <c r="G60" s="25">
        <v>0</v>
      </c>
      <c r="H60" s="6">
        <v>36</v>
      </c>
      <c r="I60" s="9">
        <v>800</v>
      </c>
      <c r="K60" s="8">
        <f t="shared" si="11"/>
        <v>16.093399999999999</v>
      </c>
      <c r="L60" s="22">
        <f t="shared" si="12"/>
        <v>16.093440000000001</v>
      </c>
      <c r="M60" s="9">
        <f t="shared" si="6"/>
        <v>0.99999751451523089</v>
      </c>
      <c r="N60" s="35">
        <f t="shared" si="13"/>
        <v>58.172104203687937</v>
      </c>
      <c r="O60" s="5">
        <f t="shared" si="14"/>
        <v>22.2486876</v>
      </c>
      <c r="P60" s="15">
        <f t="shared" si="15"/>
        <v>0</v>
      </c>
      <c r="Q60" s="5">
        <f t="shared" si="7"/>
        <v>80.420791803687933</v>
      </c>
      <c r="R60" s="37">
        <f t="shared" si="8"/>
        <v>80.420791803687933</v>
      </c>
      <c r="S60" s="37">
        <f t="shared" si="9"/>
        <v>1294.2471876451436</v>
      </c>
      <c r="T60" s="17">
        <f t="shared" si="10"/>
        <v>0.35951221411485318</v>
      </c>
    </row>
    <row r="61" spans="3:20" ht="15.6">
      <c r="C61" s="8">
        <v>49</v>
      </c>
      <c r="D61" s="5" t="s">
        <v>39</v>
      </c>
      <c r="E61" s="6">
        <v>0.1</v>
      </c>
      <c r="F61" s="6">
        <f t="shared" si="16"/>
        <v>2.1500000000000008</v>
      </c>
      <c r="G61" s="25">
        <v>0</v>
      </c>
      <c r="H61" s="6">
        <v>28</v>
      </c>
      <c r="I61" s="9">
        <v>800</v>
      </c>
      <c r="K61" s="8">
        <f t="shared" si="11"/>
        <v>160.934</v>
      </c>
      <c r="L61" s="22">
        <f t="shared" si="12"/>
        <v>12.51712</v>
      </c>
      <c r="M61" s="9">
        <f t="shared" si="6"/>
        <v>12.857110900910113</v>
      </c>
      <c r="N61" s="35">
        <f t="shared" si="13"/>
        <v>35.190532172601344</v>
      </c>
      <c r="O61" s="5">
        <f t="shared" si="14"/>
        <v>22.2486876</v>
      </c>
      <c r="P61" s="15">
        <f t="shared" si="15"/>
        <v>0</v>
      </c>
      <c r="Q61" s="5">
        <f t="shared" si="7"/>
        <v>57.439219772601348</v>
      </c>
      <c r="R61" s="37">
        <f t="shared" si="8"/>
        <v>57.439219772601348</v>
      </c>
      <c r="S61" s="37">
        <f t="shared" si="9"/>
        <v>718.9736066000238</v>
      </c>
      <c r="T61" s="17">
        <f t="shared" si="10"/>
        <v>2.5677564985788401</v>
      </c>
    </row>
    <row r="62" spans="3:20" ht="15.6">
      <c r="C62" s="8">
        <v>50</v>
      </c>
      <c r="D62" s="5" t="s">
        <v>40</v>
      </c>
      <c r="E62" s="6">
        <v>0.01</v>
      </c>
      <c r="F62" s="6">
        <f t="shared" si="16"/>
        <v>2.1600000000000006</v>
      </c>
      <c r="G62" s="25">
        <v>0</v>
      </c>
      <c r="H62" s="6">
        <v>38</v>
      </c>
      <c r="I62" s="9">
        <v>800</v>
      </c>
      <c r="K62" s="8">
        <f t="shared" si="11"/>
        <v>16.093399999999999</v>
      </c>
      <c r="L62" s="22">
        <f t="shared" si="12"/>
        <v>16.98752</v>
      </c>
      <c r="M62" s="9">
        <f t="shared" si="6"/>
        <v>0.94736606638285037</v>
      </c>
      <c r="N62" s="35">
        <f t="shared" si="13"/>
        <v>64.815214868923903</v>
      </c>
      <c r="O62" s="5">
        <f t="shared" si="14"/>
        <v>22.2486876</v>
      </c>
      <c r="P62" s="15">
        <f t="shared" si="15"/>
        <v>0</v>
      </c>
      <c r="Q62" s="5">
        <f t="shared" si="7"/>
        <v>87.063902468923899</v>
      </c>
      <c r="R62" s="37">
        <f t="shared" si="8"/>
        <v>87.063902468923899</v>
      </c>
      <c r="S62" s="37">
        <f t="shared" si="9"/>
        <v>1478.9997844688942</v>
      </c>
      <c r="T62" s="17">
        <f t="shared" si="10"/>
        <v>0.38920950222038325</v>
      </c>
    </row>
    <row r="63" spans="3:20" ht="15.6">
      <c r="C63" s="8">
        <v>51</v>
      </c>
      <c r="D63" s="5"/>
      <c r="E63" s="6">
        <v>0.01</v>
      </c>
      <c r="F63" s="6">
        <f t="shared" si="16"/>
        <v>2.1700000000000004</v>
      </c>
      <c r="G63" s="25">
        <v>0.01</v>
      </c>
      <c r="H63" s="6">
        <v>36</v>
      </c>
      <c r="I63" s="9">
        <v>800</v>
      </c>
      <c r="K63" s="8">
        <f t="shared" si="11"/>
        <v>16.093399999999999</v>
      </c>
      <c r="L63" s="22">
        <f t="shared" si="12"/>
        <v>16.093440000000001</v>
      </c>
      <c r="M63" s="9">
        <f t="shared" si="6"/>
        <v>0.99999751451523089</v>
      </c>
      <c r="N63" s="35">
        <f t="shared" si="13"/>
        <v>58.172104203687937</v>
      </c>
      <c r="O63" s="5">
        <f t="shared" si="14"/>
        <v>22.2486876</v>
      </c>
      <c r="P63" s="15">
        <f t="shared" si="15"/>
        <v>44.4973752</v>
      </c>
      <c r="Q63" s="5">
        <f t="shared" si="7"/>
        <v>124.91816700368793</v>
      </c>
      <c r="R63" s="37">
        <f t="shared" si="8"/>
        <v>124.91816700368793</v>
      </c>
      <c r="S63" s="37">
        <f t="shared" si="9"/>
        <v>2010.3630255838316</v>
      </c>
      <c r="T63" s="17">
        <f t="shared" si="10"/>
        <v>0.55843278579365307</v>
      </c>
    </row>
    <row r="64" spans="3:20" ht="15.6">
      <c r="C64" s="8">
        <v>52</v>
      </c>
      <c r="D64" s="5"/>
      <c r="E64" s="6">
        <v>0.03</v>
      </c>
      <c r="F64" s="6">
        <f t="shared" si="16"/>
        <v>2.2000000000000002</v>
      </c>
      <c r="G64" s="25">
        <v>0.02</v>
      </c>
      <c r="H64" s="6">
        <v>34</v>
      </c>
      <c r="I64" s="9">
        <v>800</v>
      </c>
      <c r="K64" s="8">
        <f t="shared" si="11"/>
        <v>48.280199999999994</v>
      </c>
      <c r="L64" s="22">
        <f t="shared" si="12"/>
        <v>15.19936</v>
      </c>
      <c r="M64" s="9">
        <f t="shared" si="6"/>
        <v>3.1764626931660276</v>
      </c>
      <c r="N64" s="35">
        <f t="shared" si="13"/>
        <v>51.888080601437693</v>
      </c>
      <c r="O64" s="5">
        <f t="shared" si="14"/>
        <v>22.2486876</v>
      </c>
      <c r="P64" s="15">
        <f t="shared" si="15"/>
        <v>88.994750400000001</v>
      </c>
      <c r="Q64" s="5">
        <f t="shared" si="7"/>
        <v>163.13151860143768</v>
      </c>
      <c r="R64" s="37">
        <f t="shared" si="8"/>
        <v>163.13151860143768</v>
      </c>
      <c r="S64" s="37">
        <f t="shared" si="9"/>
        <v>2479.4946785699476</v>
      </c>
      <c r="T64" s="17">
        <f t="shared" si="10"/>
        <v>2.1877839845503138</v>
      </c>
    </row>
    <row r="65" spans="3:20" ht="15.6">
      <c r="C65" s="8">
        <v>53</v>
      </c>
      <c r="D65" s="5"/>
      <c r="E65" s="6">
        <v>0.01</v>
      </c>
      <c r="F65" s="6">
        <f t="shared" si="16"/>
        <v>2.21</v>
      </c>
      <c r="G65" s="25">
        <v>0</v>
      </c>
      <c r="H65" s="6">
        <v>36</v>
      </c>
      <c r="I65" s="9">
        <v>800</v>
      </c>
      <c r="K65" s="8">
        <f t="shared" si="11"/>
        <v>16.093399999999999</v>
      </c>
      <c r="L65" s="22">
        <f t="shared" si="12"/>
        <v>16.093440000000001</v>
      </c>
      <c r="M65" s="9">
        <f t="shared" si="6"/>
        <v>0.99999751451523089</v>
      </c>
      <c r="N65" s="35">
        <f t="shared" si="13"/>
        <v>58.172104203687937</v>
      </c>
      <c r="O65" s="5">
        <f t="shared" si="14"/>
        <v>22.2486876</v>
      </c>
      <c r="P65" s="15">
        <f t="shared" si="15"/>
        <v>0</v>
      </c>
      <c r="Q65" s="5">
        <f t="shared" si="7"/>
        <v>80.420791803687933</v>
      </c>
      <c r="R65" s="37">
        <f t="shared" si="8"/>
        <v>80.420791803687933</v>
      </c>
      <c r="S65" s="37">
        <f t="shared" si="9"/>
        <v>1294.2471876451436</v>
      </c>
      <c r="T65" s="17">
        <f t="shared" si="10"/>
        <v>0.35951221411485318</v>
      </c>
    </row>
    <row r="66" spans="3:20" ht="15.6">
      <c r="C66" s="8">
        <v>54</v>
      </c>
      <c r="D66" s="5"/>
      <c r="E66" s="6">
        <v>0.02</v>
      </c>
      <c r="F66" s="6">
        <f t="shared" si="16"/>
        <v>2.23</v>
      </c>
      <c r="G66" s="25">
        <v>-0.03</v>
      </c>
      <c r="H66" s="6">
        <v>38</v>
      </c>
      <c r="I66" s="9">
        <v>800</v>
      </c>
      <c r="K66" s="8">
        <f t="shared" si="11"/>
        <v>32.186799999999998</v>
      </c>
      <c r="L66" s="22">
        <f t="shared" si="12"/>
        <v>16.98752</v>
      </c>
      <c r="M66" s="9">
        <f t="shared" si="6"/>
        <v>1.8947321327657007</v>
      </c>
      <c r="N66" s="35">
        <f t="shared" si="13"/>
        <v>64.815214868923903</v>
      </c>
      <c r="O66" s="5">
        <f t="shared" si="14"/>
        <v>22.2486876</v>
      </c>
      <c r="P66" s="15">
        <f t="shared" si="15"/>
        <v>-133.49212559999998</v>
      </c>
      <c r="Q66" s="5">
        <f t="shared" si="7"/>
        <v>-46.428223131076081</v>
      </c>
      <c r="R66" s="37">
        <f t="shared" si="8"/>
        <v>0</v>
      </c>
      <c r="S66" s="37">
        <f t="shared" si="9"/>
        <v>0</v>
      </c>
      <c r="T66" s="17">
        <f t="shared" si="10"/>
        <v>0</v>
      </c>
    </row>
    <row r="67" spans="3:20" ht="15.6">
      <c r="C67" s="8">
        <v>55</v>
      </c>
      <c r="D67" s="5"/>
      <c r="E67" s="6">
        <v>0.01</v>
      </c>
      <c r="F67" s="6">
        <f t="shared" si="16"/>
        <v>2.2399999999999998</v>
      </c>
      <c r="G67" s="25">
        <v>-0.02</v>
      </c>
      <c r="H67" s="6">
        <v>38</v>
      </c>
      <c r="I67" s="9">
        <v>800</v>
      </c>
      <c r="K67" s="8">
        <f t="shared" si="11"/>
        <v>16.093399999999999</v>
      </c>
      <c r="L67" s="22">
        <f t="shared" si="12"/>
        <v>16.98752</v>
      </c>
      <c r="M67" s="9">
        <f t="shared" si="6"/>
        <v>0.94736606638285037</v>
      </c>
      <c r="N67" s="35">
        <f t="shared" si="13"/>
        <v>64.815214868923903</v>
      </c>
      <c r="O67" s="5">
        <f t="shared" si="14"/>
        <v>22.2486876</v>
      </c>
      <c r="P67" s="15">
        <f t="shared" si="15"/>
        <v>-88.994750400000001</v>
      </c>
      <c r="Q67" s="5">
        <f t="shared" si="7"/>
        <v>-1.9308479310761015</v>
      </c>
      <c r="R67" s="37">
        <f t="shared" si="8"/>
        <v>0</v>
      </c>
      <c r="S67" s="37">
        <f t="shared" si="9"/>
        <v>0</v>
      </c>
      <c r="T67" s="17">
        <f t="shared" si="10"/>
        <v>0</v>
      </c>
    </row>
    <row r="68" spans="3:20" ht="15.6">
      <c r="C68" s="8">
        <v>56</v>
      </c>
      <c r="D68" s="5"/>
      <c r="E68" s="6">
        <v>0.01</v>
      </c>
      <c r="F68" s="6">
        <f t="shared" si="16"/>
        <v>2.2499999999999996</v>
      </c>
      <c r="G68" s="25">
        <v>0</v>
      </c>
      <c r="H68" s="6">
        <v>34</v>
      </c>
      <c r="I68" s="9">
        <v>800</v>
      </c>
      <c r="K68" s="8">
        <f t="shared" si="11"/>
        <v>16.093399999999999</v>
      </c>
      <c r="L68" s="22">
        <f t="shared" si="12"/>
        <v>15.19936</v>
      </c>
      <c r="M68" s="9">
        <f t="shared" si="6"/>
        <v>1.0588208977220093</v>
      </c>
      <c r="N68" s="35">
        <f t="shared" si="13"/>
        <v>51.888080601437693</v>
      </c>
      <c r="O68" s="5">
        <f t="shared" si="14"/>
        <v>22.2486876</v>
      </c>
      <c r="P68" s="15">
        <f t="shared" si="15"/>
        <v>0</v>
      </c>
      <c r="Q68" s="5">
        <f t="shared" si="7"/>
        <v>74.13676820143769</v>
      </c>
      <c r="R68" s="37">
        <f t="shared" si="8"/>
        <v>74.13676820143769</v>
      </c>
      <c r="S68" s="37">
        <f t="shared" si="9"/>
        <v>1126.831429130204</v>
      </c>
      <c r="T68" s="17">
        <f t="shared" si="10"/>
        <v>0.33142018482583813</v>
      </c>
    </row>
    <row r="69" spans="3:20" ht="15.6">
      <c r="C69" s="8">
        <v>57</v>
      </c>
      <c r="D69" s="5"/>
      <c r="E69" s="6">
        <v>0.01</v>
      </c>
      <c r="F69" s="6">
        <f t="shared" si="16"/>
        <v>2.2599999999999993</v>
      </c>
      <c r="G69" s="25">
        <v>0.02</v>
      </c>
      <c r="H69" s="6">
        <v>35</v>
      </c>
      <c r="I69" s="9">
        <v>800</v>
      </c>
      <c r="K69" s="8">
        <f t="shared" si="11"/>
        <v>16.093399999999999</v>
      </c>
      <c r="L69" s="22">
        <f t="shared" si="12"/>
        <v>15.6464</v>
      </c>
      <c r="M69" s="9">
        <f t="shared" si="6"/>
        <v>1.028568872072809</v>
      </c>
      <c r="N69" s="35">
        <f t="shared" si="13"/>
        <v>54.985206519689598</v>
      </c>
      <c r="O69" s="5">
        <f t="shared" si="14"/>
        <v>22.2486876</v>
      </c>
      <c r="P69" s="15">
        <f t="shared" si="15"/>
        <v>88.994750400000001</v>
      </c>
      <c r="Q69" s="5">
        <f t="shared" si="7"/>
        <v>166.2286445196896</v>
      </c>
      <c r="R69" s="37">
        <f t="shared" si="8"/>
        <v>166.2286445196896</v>
      </c>
      <c r="S69" s="37">
        <f t="shared" si="9"/>
        <v>2600.8798636128713</v>
      </c>
      <c r="T69" s="17">
        <f t="shared" si="10"/>
        <v>0.74310668547588121</v>
      </c>
    </row>
    <row r="70" spans="3:20" ht="15.6">
      <c r="C70" s="8">
        <v>58</v>
      </c>
      <c r="D70" s="5"/>
      <c r="E70" s="6">
        <v>0.08</v>
      </c>
      <c r="F70" s="6">
        <f t="shared" si="16"/>
        <v>2.3399999999999994</v>
      </c>
      <c r="G70" s="25">
        <v>0</v>
      </c>
      <c r="H70" s="6">
        <v>34</v>
      </c>
      <c r="I70" s="9">
        <v>800</v>
      </c>
      <c r="K70" s="8">
        <f t="shared" si="11"/>
        <v>128.74719999999999</v>
      </c>
      <c r="L70" s="22">
        <f t="shared" si="12"/>
        <v>15.19936</v>
      </c>
      <c r="M70" s="9">
        <f t="shared" si="6"/>
        <v>8.4705671817760742</v>
      </c>
      <c r="N70" s="35">
        <f t="shared" si="13"/>
        <v>51.888080601437693</v>
      </c>
      <c r="O70" s="5">
        <f t="shared" si="14"/>
        <v>22.2486876</v>
      </c>
      <c r="P70" s="15">
        <f t="shared" si="15"/>
        <v>0</v>
      </c>
      <c r="Q70" s="5">
        <f t="shared" si="7"/>
        <v>74.13676820143769</v>
      </c>
      <c r="R70" s="37">
        <f t="shared" si="8"/>
        <v>74.13676820143769</v>
      </c>
      <c r="S70" s="37">
        <f t="shared" si="9"/>
        <v>1126.831429130204</v>
      </c>
      <c r="T70" s="17">
        <f t="shared" si="10"/>
        <v>2.651361478606705</v>
      </c>
    </row>
    <row r="71" spans="3:20" ht="15.6">
      <c r="C71" s="8">
        <v>59</v>
      </c>
      <c r="D71" s="5"/>
      <c r="E71" s="6">
        <v>0.01</v>
      </c>
      <c r="F71" s="6">
        <f t="shared" si="16"/>
        <v>2.3499999999999992</v>
      </c>
      <c r="G71" s="25">
        <v>0.02</v>
      </c>
      <c r="H71" s="6">
        <v>32</v>
      </c>
      <c r="I71" s="9">
        <v>800</v>
      </c>
      <c r="K71" s="8">
        <f t="shared" si="11"/>
        <v>16.093399999999999</v>
      </c>
      <c r="L71" s="22">
        <f t="shared" si="12"/>
        <v>14.30528</v>
      </c>
      <c r="M71" s="9">
        <f t="shared" si="6"/>
        <v>1.124997203829635</v>
      </c>
      <c r="N71" s="35">
        <f t="shared" si="13"/>
        <v>45.963144062173185</v>
      </c>
      <c r="O71" s="5">
        <f t="shared" si="14"/>
        <v>22.2486876</v>
      </c>
      <c r="P71" s="15">
        <f t="shared" si="15"/>
        <v>88.994750400000001</v>
      </c>
      <c r="Q71" s="5">
        <f t="shared" si="7"/>
        <v>157.2065820621732</v>
      </c>
      <c r="R71" s="37">
        <f t="shared" si="8"/>
        <v>157.2065820621732</v>
      </c>
      <c r="S71" s="37">
        <f t="shared" si="9"/>
        <v>2248.8841742423651</v>
      </c>
      <c r="T71" s="17">
        <f t="shared" si="10"/>
        <v>0.70277455771093844</v>
      </c>
    </row>
    <row r="72" spans="3:20" ht="15.6">
      <c r="C72" s="8">
        <v>60</v>
      </c>
      <c r="D72" s="5"/>
      <c r="E72" s="6">
        <v>0.01</v>
      </c>
      <c r="F72" s="6">
        <f t="shared" si="16"/>
        <v>2.359999999999999</v>
      </c>
      <c r="G72" s="25">
        <v>-0.01</v>
      </c>
      <c r="H72" s="6">
        <v>31</v>
      </c>
      <c r="I72" s="9">
        <v>800</v>
      </c>
      <c r="K72" s="8">
        <f t="shared" si="11"/>
        <v>16.093399999999999</v>
      </c>
      <c r="L72" s="22">
        <f t="shared" si="12"/>
        <v>13.85824</v>
      </c>
      <c r="M72" s="9">
        <f t="shared" si="6"/>
        <v>1.161287436211236</v>
      </c>
      <c r="N72" s="35">
        <f t="shared" si="13"/>
        <v>43.135333441160576</v>
      </c>
      <c r="O72" s="5">
        <f t="shared" si="14"/>
        <v>22.2486876</v>
      </c>
      <c r="P72" s="15">
        <f t="shared" si="15"/>
        <v>-44.4973752</v>
      </c>
      <c r="Q72" s="5">
        <f t="shared" si="7"/>
        <v>20.886645841160579</v>
      </c>
      <c r="R72" s="37">
        <f t="shared" si="8"/>
        <v>20.886645841160579</v>
      </c>
      <c r="S72" s="37">
        <f t="shared" si="9"/>
        <v>289.45215086180519</v>
      </c>
      <c r="T72" s="17">
        <f t="shared" si="10"/>
        <v>9.3371429494481573E-2</v>
      </c>
    </row>
    <row r="73" spans="3:20" ht="15.6">
      <c r="C73" s="8">
        <v>61</v>
      </c>
      <c r="D73" s="5"/>
      <c r="E73" s="6">
        <v>0.15</v>
      </c>
      <c r="F73" s="6">
        <f t="shared" si="16"/>
        <v>2.5099999999999989</v>
      </c>
      <c r="G73" s="25">
        <v>0</v>
      </c>
      <c r="H73" s="6">
        <v>32</v>
      </c>
      <c r="I73" s="9">
        <v>800</v>
      </c>
      <c r="K73" s="8">
        <f t="shared" si="11"/>
        <v>241.40099999999998</v>
      </c>
      <c r="L73" s="22">
        <f t="shared" si="12"/>
        <v>14.30528</v>
      </c>
      <c r="M73" s="9">
        <f t="shared" si="6"/>
        <v>16.874958057444523</v>
      </c>
      <c r="N73" s="35">
        <f t="shared" si="13"/>
        <v>45.963144062173185</v>
      </c>
      <c r="O73" s="5">
        <f t="shared" si="14"/>
        <v>22.2486876</v>
      </c>
      <c r="P73" s="15">
        <f t="shared" si="15"/>
        <v>0</v>
      </c>
      <c r="Q73" s="5">
        <f t="shared" si="7"/>
        <v>68.211831662173182</v>
      </c>
      <c r="R73" s="37">
        <f t="shared" si="8"/>
        <v>68.211831662173182</v>
      </c>
      <c r="S73" s="37">
        <f t="shared" si="9"/>
        <v>975.78935124025281</v>
      </c>
      <c r="T73" s="17">
        <f t="shared" si="10"/>
        <v>4.5740012153000738</v>
      </c>
    </row>
    <row r="74" spans="3:20" ht="15.6">
      <c r="C74" s="8">
        <v>62</v>
      </c>
      <c r="D74" s="5"/>
      <c r="E74" s="6">
        <v>0.01</v>
      </c>
      <c r="F74" s="6">
        <f t="shared" si="16"/>
        <v>2.5199999999999987</v>
      </c>
      <c r="G74" s="25">
        <v>0.01</v>
      </c>
      <c r="H74" s="6">
        <v>33</v>
      </c>
      <c r="I74" s="9">
        <v>800</v>
      </c>
      <c r="K74" s="8">
        <f t="shared" si="11"/>
        <v>16.093399999999999</v>
      </c>
      <c r="L74" s="22">
        <f t="shared" si="12"/>
        <v>14.752319999999999</v>
      </c>
      <c r="M74" s="9">
        <f t="shared" si="6"/>
        <v>1.0909063794711611</v>
      </c>
      <c r="N74" s="35">
        <f t="shared" si="13"/>
        <v>48.880726448932215</v>
      </c>
      <c r="O74" s="5">
        <f t="shared" si="14"/>
        <v>22.2486876</v>
      </c>
      <c r="P74" s="15">
        <f t="shared" si="15"/>
        <v>44.4973752</v>
      </c>
      <c r="Q74" s="5">
        <f t="shared" si="7"/>
        <v>115.62678924893223</v>
      </c>
      <c r="R74" s="37">
        <f t="shared" si="8"/>
        <v>115.62678924893223</v>
      </c>
      <c r="S74" s="37">
        <f t="shared" si="9"/>
        <v>1705.7633955728077</v>
      </c>
      <c r="T74" s="17">
        <f t="shared" si="10"/>
        <v>0.51689671391632375</v>
      </c>
    </row>
    <row r="75" spans="3:20" ht="15.6">
      <c r="C75" s="8">
        <v>63</v>
      </c>
      <c r="D75" s="5"/>
      <c r="E75" s="6">
        <v>0.01</v>
      </c>
      <c r="F75" s="6">
        <f t="shared" si="16"/>
        <v>2.5299999999999985</v>
      </c>
      <c r="G75" s="25">
        <v>0.04</v>
      </c>
      <c r="H75" s="6">
        <v>34</v>
      </c>
      <c r="I75" s="9">
        <v>800</v>
      </c>
      <c r="K75" s="8">
        <f t="shared" si="11"/>
        <v>16.093399999999999</v>
      </c>
      <c r="L75" s="22">
        <f t="shared" si="12"/>
        <v>15.19936</v>
      </c>
      <c r="M75" s="9">
        <f t="shared" si="6"/>
        <v>1.0588208977220093</v>
      </c>
      <c r="N75" s="35">
        <f t="shared" si="13"/>
        <v>51.888080601437693</v>
      </c>
      <c r="O75" s="5">
        <f t="shared" si="14"/>
        <v>22.2486876</v>
      </c>
      <c r="P75" s="15">
        <f t="shared" si="15"/>
        <v>177.9895008</v>
      </c>
      <c r="Q75" s="5">
        <f t="shared" si="7"/>
        <v>252.12626900143769</v>
      </c>
      <c r="R75" s="37">
        <f t="shared" si="8"/>
        <v>252.12626900143769</v>
      </c>
      <c r="S75" s="37">
        <f t="shared" si="9"/>
        <v>3832.1579280096921</v>
      </c>
      <c r="T75" s="17">
        <f t="shared" si="10"/>
        <v>1.1271024715410383</v>
      </c>
    </row>
    <row r="76" spans="3:20" ht="15.6">
      <c r="C76" s="8">
        <v>64</v>
      </c>
      <c r="D76" s="5"/>
      <c r="E76" s="6">
        <v>0.02</v>
      </c>
      <c r="F76" s="6">
        <f t="shared" si="16"/>
        <v>2.5499999999999985</v>
      </c>
      <c r="G76" s="25">
        <v>0</v>
      </c>
      <c r="H76" s="6">
        <v>35</v>
      </c>
      <c r="I76" s="9">
        <v>800</v>
      </c>
      <c r="K76" s="8">
        <f t="shared" si="11"/>
        <v>32.186799999999998</v>
      </c>
      <c r="L76" s="22">
        <f t="shared" si="12"/>
        <v>15.6464</v>
      </c>
      <c r="M76" s="9">
        <f t="shared" si="6"/>
        <v>2.057137744145618</v>
      </c>
      <c r="N76" s="35">
        <f t="shared" si="13"/>
        <v>54.985206519689598</v>
      </c>
      <c r="O76" s="5">
        <f t="shared" si="14"/>
        <v>22.2486876</v>
      </c>
      <c r="P76" s="15">
        <f t="shared" si="15"/>
        <v>0</v>
      </c>
      <c r="Q76" s="5">
        <f t="shared" si="7"/>
        <v>77.233894119689595</v>
      </c>
      <c r="R76" s="37">
        <f t="shared" si="8"/>
        <v>77.233894119689595</v>
      </c>
      <c r="S76" s="37">
        <f t="shared" si="9"/>
        <v>1208.4324009543113</v>
      </c>
      <c r="T76" s="17">
        <f t="shared" si="10"/>
        <v>0.69053108423656251</v>
      </c>
    </row>
    <row r="77" spans="3:20" ht="15.6">
      <c r="C77" s="8">
        <v>65</v>
      </c>
      <c r="D77" s="5"/>
      <c r="E77" s="6">
        <v>0.03</v>
      </c>
      <c r="F77" s="6">
        <f t="shared" si="16"/>
        <v>2.5799999999999983</v>
      </c>
      <c r="G77" s="25">
        <v>-0.03</v>
      </c>
      <c r="H77" s="6">
        <v>34</v>
      </c>
      <c r="I77" s="9">
        <v>800</v>
      </c>
      <c r="K77" s="8">
        <f t="shared" ref="K77:K92" si="17">1609.34*E77</f>
        <v>48.280199999999994</v>
      </c>
      <c r="L77" s="22">
        <f t="shared" ref="L77:L92" si="18">0.44704*H77</f>
        <v>15.19936</v>
      </c>
      <c r="M77" s="9">
        <f t="shared" si="6"/>
        <v>3.1764626931660276</v>
      </c>
      <c r="N77" s="35">
        <f t="shared" ref="N77:N92" si="19">0.5*rho*CdA*(L77^2)</f>
        <v>51.888080601437693</v>
      </c>
      <c r="O77" s="5">
        <f t="shared" ref="O77:O92" si="20">Crr*m*g</f>
        <v>22.2486876</v>
      </c>
      <c r="P77" s="15">
        <f t="shared" ref="P77:P92" si="21">m * g * G77</f>
        <v>-133.49212559999998</v>
      </c>
      <c r="Q77" s="5">
        <f t="shared" si="7"/>
        <v>-59.35535739856229</v>
      </c>
      <c r="R77" s="37">
        <f t="shared" si="8"/>
        <v>0</v>
      </c>
      <c r="S77" s="37">
        <f t="shared" si="9"/>
        <v>0</v>
      </c>
      <c r="T77" s="17">
        <f t="shared" si="10"/>
        <v>0</v>
      </c>
    </row>
    <row r="78" spans="3:20" ht="15.6">
      <c r="C78" s="8">
        <v>66</v>
      </c>
      <c r="D78" s="5"/>
      <c r="E78" s="6">
        <v>0.15</v>
      </c>
      <c r="F78" s="6">
        <f t="shared" ref="F78:F109" si="22">F77+E78</f>
        <v>2.7299999999999982</v>
      </c>
      <c r="G78" s="25">
        <v>0</v>
      </c>
      <c r="H78" s="6">
        <v>32</v>
      </c>
      <c r="I78" s="9">
        <v>800</v>
      </c>
      <c r="K78" s="8">
        <f t="shared" si="17"/>
        <v>241.40099999999998</v>
      </c>
      <c r="L78" s="22">
        <f t="shared" si="18"/>
        <v>14.30528</v>
      </c>
      <c r="M78" s="9">
        <f t="shared" ref="M78:M92" si="23">K78/L78</f>
        <v>16.874958057444523</v>
      </c>
      <c r="N78" s="35">
        <f t="shared" si="19"/>
        <v>45.963144062173185</v>
      </c>
      <c r="O78" s="5">
        <f t="shared" si="20"/>
        <v>22.2486876</v>
      </c>
      <c r="P78" s="15">
        <f t="shared" si="21"/>
        <v>0</v>
      </c>
      <c r="Q78" s="5">
        <f t="shared" ref="Q78:Q92" si="24">SUM(N78:P78)</f>
        <v>68.211831662173182</v>
      </c>
      <c r="R78" s="37">
        <f t="shared" ref="R78:R92" si="25">MAX(0,Q78)</f>
        <v>68.211831662173182</v>
      </c>
      <c r="S78" s="37">
        <f t="shared" ref="S78:S92" si="26">R78*L78</f>
        <v>975.78935124025281</v>
      </c>
      <c r="T78" s="17">
        <f t="shared" ref="T78:T92" si="27">(S78*M78)/3600</f>
        <v>4.5740012153000738</v>
      </c>
    </row>
    <row r="79" spans="3:20" ht="15.6">
      <c r="C79" s="8">
        <v>67</v>
      </c>
      <c r="D79" s="5"/>
      <c r="E79" s="6">
        <v>0.01</v>
      </c>
      <c r="F79" s="6">
        <f t="shared" si="22"/>
        <v>2.739999999999998</v>
      </c>
      <c r="G79" s="25">
        <v>-0.03</v>
      </c>
      <c r="H79" s="6">
        <v>31</v>
      </c>
      <c r="I79" s="9">
        <v>800</v>
      </c>
      <c r="K79" s="8">
        <f t="shared" si="17"/>
        <v>16.093399999999999</v>
      </c>
      <c r="L79" s="22">
        <f t="shared" si="18"/>
        <v>13.85824</v>
      </c>
      <c r="M79" s="9">
        <f t="shared" si="23"/>
        <v>1.161287436211236</v>
      </c>
      <c r="N79" s="35">
        <f t="shared" si="19"/>
        <v>43.135333441160576</v>
      </c>
      <c r="O79" s="5">
        <f t="shared" si="20"/>
        <v>22.2486876</v>
      </c>
      <c r="P79" s="15">
        <f t="shared" si="21"/>
        <v>-133.49212559999998</v>
      </c>
      <c r="Q79" s="5">
        <f t="shared" si="24"/>
        <v>-68.108104558839401</v>
      </c>
      <c r="R79" s="37">
        <f t="shared" si="25"/>
        <v>0</v>
      </c>
      <c r="S79" s="37">
        <f t="shared" si="26"/>
        <v>0</v>
      </c>
      <c r="T79" s="17">
        <f t="shared" si="27"/>
        <v>0</v>
      </c>
    </row>
    <row r="80" spans="3:20" ht="15.6">
      <c r="C80" s="8">
        <v>68</v>
      </c>
      <c r="D80" s="5"/>
      <c r="E80" s="6">
        <v>0.02</v>
      </c>
      <c r="F80" s="6">
        <f t="shared" si="22"/>
        <v>2.759999999999998</v>
      </c>
      <c r="G80" s="25">
        <v>-0.01</v>
      </c>
      <c r="H80" s="6">
        <v>30</v>
      </c>
      <c r="I80" s="9">
        <v>800</v>
      </c>
      <c r="K80" s="8">
        <f t="shared" si="17"/>
        <v>32.186799999999998</v>
      </c>
      <c r="L80" s="22">
        <f t="shared" si="18"/>
        <v>13.411199999999999</v>
      </c>
      <c r="M80" s="9">
        <f t="shared" si="23"/>
        <v>2.3999940348365545</v>
      </c>
      <c r="N80" s="35">
        <f t="shared" si="19"/>
        <v>40.397294585894393</v>
      </c>
      <c r="O80" s="5">
        <f t="shared" si="20"/>
        <v>22.2486876</v>
      </c>
      <c r="P80" s="15">
        <f t="shared" si="21"/>
        <v>-44.4973752</v>
      </c>
      <c r="Q80" s="5">
        <f t="shared" si="24"/>
        <v>18.148606985894396</v>
      </c>
      <c r="R80" s="37">
        <f t="shared" si="25"/>
        <v>18.148606985894396</v>
      </c>
      <c r="S80" s="37">
        <f t="shared" si="26"/>
        <v>243.39459800922691</v>
      </c>
      <c r="T80" s="17">
        <f t="shared" si="27"/>
        <v>0.16226266203710715</v>
      </c>
    </row>
    <row r="81" spans="3:20" ht="15.6">
      <c r="C81" s="8">
        <v>69</v>
      </c>
      <c r="D81" s="5"/>
      <c r="E81" s="6">
        <v>0.01</v>
      </c>
      <c r="F81" s="6">
        <f t="shared" si="22"/>
        <v>2.7699999999999978</v>
      </c>
      <c r="G81" s="25">
        <v>0.01</v>
      </c>
      <c r="H81" s="6">
        <v>28</v>
      </c>
      <c r="I81" s="9">
        <v>800</v>
      </c>
      <c r="K81" s="8">
        <f t="shared" si="17"/>
        <v>16.093399999999999</v>
      </c>
      <c r="L81" s="22">
        <f t="shared" si="18"/>
        <v>12.51712</v>
      </c>
      <c r="M81" s="9">
        <f t="shared" si="23"/>
        <v>1.2857110900910111</v>
      </c>
      <c r="N81" s="35">
        <f t="shared" si="19"/>
        <v>35.190532172601344</v>
      </c>
      <c r="O81" s="5">
        <f t="shared" si="20"/>
        <v>22.2486876</v>
      </c>
      <c r="P81" s="15">
        <f t="shared" si="21"/>
        <v>44.4973752</v>
      </c>
      <c r="Q81" s="5">
        <f t="shared" si="24"/>
        <v>101.93659497260134</v>
      </c>
      <c r="R81" s="37">
        <f t="shared" si="25"/>
        <v>101.93659497260134</v>
      </c>
      <c r="S81" s="37">
        <f t="shared" si="26"/>
        <v>1275.9525916634477</v>
      </c>
      <c r="T81" s="17">
        <f t="shared" si="27"/>
        <v>0.45569622153668393</v>
      </c>
    </row>
    <row r="82" spans="3:20" ht="15.6">
      <c r="C82" s="8">
        <v>70</v>
      </c>
      <c r="D82" s="5"/>
      <c r="E82" s="6">
        <v>0.04</v>
      </c>
      <c r="F82" s="6">
        <f t="shared" si="22"/>
        <v>2.8099999999999978</v>
      </c>
      <c r="G82" s="25">
        <v>0.02</v>
      </c>
      <c r="H82" s="6">
        <v>26</v>
      </c>
      <c r="I82" s="9">
        <v>800</v>
      </c>
      <c r="K82" s="8">
        <f t="shared" si="17"/>
        <v>64.373599999999996</v>
      </c>
      <c r="L82" s="22">
        <f t="shared" si="18"/>
        <v>11.62304</v>
      </c>
      <c r="M82" s="9">
        <f t="shared" si="23"/>
        <v>5.5384477726997412</v>
      </c>
      <c r="N82" s="35">
        <f t="shared" si="19"/>
        <v>30.34285682229401</v>
      </c>
      <c r="O82" s="5">
        <f t="shared" si="20"/>
        <v>22.2486876</v>
      </c>
      <c r="P82" s="15">
        <f t="shared" si="21"/>
        <v>88.994750400000001</v>
      </c>
      <c r="Q82" s="5">
        <f t="shared" si="24"/>
        <v>141.58629482229401</v>
      </c>
      <c r="R82" s="37">
        <f t="shared" si="25"/>
        <v>141.58629482229401</v>
      </c>
      <c r="S82" s="37">
        <f t="shared" si="26"/>
        <v>1645.6631681713161</v>
      </c>
      <c r="T82" s="17">
        <f t="shared" si="27"/>
        <v>2.5317831967701179</v>
      </c>
    </row>
    <row r="83" spans="3:20" ht="15.6">
      <c r="C83" s="8">
        <v>71</v>
      </c>
      <c r="D83" s="5"/>
      <c r="E83" s="6">
        <v>0.01</v>
      </c>
      <c r="F83" s="6">
        <f t="shared" si="22"/>
        <v>2.8199999999999976</v>
      </c>
      <c r="G83" s="25">
        <v>-0.02</v>
      </c>
      <c r="H83" s="6">
        <v>25</v>
      </c>
      <c r="I83" s="9">
        <v>800</v>
      </c>
      <c r="K83" s="8">
        <f t="shared" si="17"/>
        <v>16.093399999999999</v>
      </c>
      <c r="L83" s="22">
        <f t="shared" si="18"/>
        <v>11.176</v>
      </c>
      <c r="M83" s="9">
        <f t="shared" si="23"/>
        <v>1.4399964209019327</v>
      </c>
      <c r="N83" s="35">
        <f t="shared" si="19"/>
        <v>28.053676795760001</v>
      </c>
      <c r="O83" s="5">
        <f t="shared" si="20"/>
        <v>22.2486876</v>
      </c>
      <c r="P83" s="15">
        <f t="shared" si="21"/>
        <v>-88.994750400000001</v>
      </c>
      <c r="Q83" s="5">
        <f t="shared" si="24"/>
        <v>-38.692386004239999</v>
      </c>
      <c r="R83" s="37">
        <f t="shared" si="25"/>
        <v>0</v>
      </c>
      <c r="S83" s="37">
        <f t="shared" si="26"/>
        <v>0</v>
      </c>
      <c r="T83" s="17">
        <f t="shared" si="27"/>
        <v>0</v>
      </c>
    </row>
    <row r="84" spans="3:20" ht="15.6">
      <c r="C84" s="8">
        <v>72</v>
      </c>
      <c r="D84" s="5"/>
      <c r="E84" s="6">
        <v>0.02</v>
      </c>
      <c r="F84" s="6">
        <f t="shared" si="22"/>
        <v>2.8399999999999976</v>
      </c>
      <c r="G84" s="25">
        <v>-0.01</v>
      </c>
      <c r="H84" s="6">
        <v>22</v>
      </c>
      <c r="I84" s="9">
        <v>800</v>
      </c>
      <c r="K84" s="8">
        <f t="shared" si="17"/>
        <v>32.186799999999998</v>
      </c>
      <c r="L84" s="22">
        <f t="shared" si="18"/>
        <v>9.8348800000000001</v>
      </c>
      <c r="M84" s="9">
        <f t="shared" si="23"/>
        <v>3.2727191384134833</v>
      </c>
      <c r="N84" s="35">
        <f t="shared" si="19"/>
        <v>21.724767310636544</v>
      </c>
      <c r="O84" s="5">
        <f t="shared" si="20"/>
        <v>22.2486876</v>
      </c>
      <c r="P84" s="15">
        <f t="shared" si="21"/>
        <v>-44.4973752</v>
      </c>
      <c r="Q84" s="5">
        <f t="shared" si="24"/>
        <v>-0.5239202893634527</v>
      </c>
      <c r="R84" s="37">
        <f t="shared" si="25"/>
        <v>0</v>
      </c>
      <c r="S84" s="37">
        <f t="shared" si="26"/>
        <v>0</v>
      </c>
      <c r="T84" s="17">
        <f t="shared" si="27"/>
        <v>0</v>
      </c>
    </row>
    <row r="85" spans="3:20" ht="15.6">
      <c r="C85" s="8">
        <v>73</v>
      </c>
      <c r="D85" s="5"/>
      <c r="E85" s="6">
        <v>0.01</v>
      </c>
      <c r="F85" s="6">
        <f t="shared" si="22"/>
        <v>2.8499999999999974</v>
      </c>
      <c r="G85" s="25">
        <v>0.03</v>
      </c>
      <c r="H85" s="6">
        <v>21</v>
      </c>
      <c r="I85" s="9">
        <v>800</v>
      </c>
      <c r="K85" s="8">
        <f t="shared" si="17"/>
        <v>16.093399999999999</v>
      </c>
      <c r="L85" s="22">
        <f t="shared" si="18"/>
        <v>9.3878400000000006</v>
      </c>
      <c r="M85" s="9">
        <f t="shared" si="23"/>
        <v>1.7142814534546815</v>
      </c>
      <c r="N85" s="35">
        <f t="shared" si="19"/>
        <v>19.794674347088261</v>
      </c>
      <c r="O85" s="5">
        <f t="shared" si="20"/>
        <v>22.2486876</v>
      </c>
      <c r="P85" s="15">
        <f t="shared" si="21"/>
        <v>133.49212559999998</v>
      </c>
      <c r="Q85" s="5">
        <f t="shared" si="24"/>
        <v>175.53548754708822</v>
      </c>
      <c r="R85" s="37">
        <f t="shared" si="25"/>
        <v>175.53548754708822</v>
      </c>
      <c r="S85" s="37">
        <f t="shared" si="26"/>
        <v>1647.8990714140568</v>
      </c>
      <c r="T85" s="17">
        <f t="shared" si="27"/>
        <v>0.78471189313619705</v>
      </c>
    </row>
    <row r="86" spans="3:20" ht="15.6">
      <c r="C86" s="8">
        <v>74</v>
      </c>
      <c r="D86" s="5"/>
      <c r="E86" s="6">
        <v>0.01</v>
      </c>
      <c r="F86" s="6">
        <f t="shared" si="22"/>
        <v>2.8599999999999972</v>
      </c>
      <c r="G86" s="25">
        <v>0.01</v>
      </c>
      <c r="H86" s="6">
        <v>20</v>
      </c>
      <c r="I86" s="9">
        <v>800</v>
      </c>
      <c r="K86" s="8">
        <f t="shared" si="17"/>
        <v>16.093399999999999</v>
      </c>
      <c r="L86" s="22">
        <f t="shared" si="18"/>
        <v>8.9407999999999994</v>
      </c>
      <c r="M86" s="9">
        <f t="shared" si="23"/>
        <v>1.7999955261274159</v>
      </c>
      <c r="N86" s="35">
        <f t="shared" si="19"/>
        <v>17.954353149286398</v>
      </c>
      <c r="O86" s="5">
        <f t="shared" si="20"/>
        <v>22.2486876</v>
      </c>
      <c r="P86" s="15">
        <f t="shared" si="21"/>
        <v>44.4973752</v>
      </c>
      <c r="Q86" s="5">
        <f t="shared" si="24"/>
        <v>84.700415949286395</v>
      </c>
      <c r="R86" s="37">
        <f t="shared" si="25"/>
        <v>84.700415949286395</v>
      </c>
      <c r="S86" s="37">
        <f t="shared" si="26"/>
        <v>757.2894789193798</v>
      </c>
      <c r="T86" s="17">
        <f t="shared" si="27"/>
        <v>0.37864379834395712</v>
      </c>
    </row>
    <row r="87" spans="3:20" ht="15.6">
      <c r="C87" s="8">
        <v>75</v>
      </c>
      <c r="D87" s="5" t="s">
        <v>41</v>
      </c>
      <c r="E87" s="6">
        <v>0.03</v>
      </c>
      <c r="F87" s="6">
        <f t="shared" si="22"/>
        <v>2.889999999999997</v>
      </c>
      <c r="G87" s="25">
        <v>-0.01</v>
      </c>
      <c r="H87" s="6">
        <v>19</v>
      </c>
      <c r="I87" s="9">
        <v>800</v>
      </c>
      <c r="K87" s="8">
        <f t="shared" si="17"/>
        <v>48.280199999999994</v>
      </c>
      <c r="L87" s="22">
        <f t="shared" si="18"/>
        <v>8.49376</v>
      </c>
      <c r="M87" s="9">
        <f t="shared" si="23"/>
        <v>5.684196398297102</v>
      </c>
      <c r="N87" s="35">
        <f t="shared" si="19"/>
        <v>16.203803717230976</v>
      </c>
      <c r="O87" s="5">
        <f t="shared" si="20"/>
        <v>22.2486876</v>
      </c>
      <c r="P87" s="15">
        <f t="shared" si="21"/>
        <v>-44.4973752</v>
      </c>
      <c r="Q87" s="5">
        <f t="shared" si="24"/>
        <v>-6.044883882769021</v>
      </c>
      <c r="R87" s="37">
        <f t="shared" si="25"/>
        <v>0</v>
      </c>
      <c r="S87" s="37">
        <f t="shared" si="26"/>
        <v>0</v>
      </c>
      <c r="T87" s="17">
        <f t="shared" si="27"/>
        <v>0</v>
      </c>
    </row>
    <row r="88" spans="3:20" ht="15.6">
      <c r="C88" s="8">
        <v>76</v>
      </c>
      <c r="D88" s="5"/>
      <c r="E88" s="6">
        <v>0.01</v>
      </c>
      <c r="F88" s="6">
        <f t="shared" si="22"/>
        <v>2.8999999999999968</v>
      </c>
      <c r="G88" s="25">
        <v>0</v>
      </c>
      <c r="H88" s="6">
        <v>20</v>
      </c>
      <c r="I88" s="9">
        <v>800</v>
      </c>
      <c r="K88" s="8">
        <f t="shared" si="17"/>
        <v>16.093399999999999</v>
      </c>
      <c r="L88" s="22">
        <f t="shared" si="18"/>
        <v>8.9407999999999994</v>
      </c>
      <c r="M88" s="9">
        <f t="shared" si="23"/>
        <v>1.7999955261274159</v>
      </c>
      <c r="N88" s="35">
        <f t="shared" si="19"/>
        <v>17.954353149286398</v>
      </c>
      <c r="O88" s="5">
        <f t="shared" si="20"/>
        <v>22.2486876</v>
      </c>
      <c r="P88" s="15">
        <f t="shared" si="21"/>
        <v>0</v>
      </c>
      <c r="Q88" s="5">
        <f t="shared" si="24"/>
        <v>40.203040749286401</v>
      </c>
      <c r="R88" s="37">
        <f t="shared" si="25"/>
        <v>40.203040749286401</v>
      </c>
      <c r="S88" s="37">
        <f t="shared" si="26"/>
        <v>359.44734673121985</v>
      </c>
      <c r="T88" s="17">
        <f t="shared" si="27"/>
        <v>0.17972322666515714</v>
      </c>
    </row>
    <row r="89" spans="3:20" ht="15.6">
      <c r="C89" s="8">
        <v>77</v>
      </c>
      <c r="D89" s="5"/>
      <c r="E89" s="6">
        <v>0.01</v>
      </c>
      <c r="F89" s="6">
        <f t="shared" si="22"/>
        <v>2.9099999999999966</v>
      </c>
      <c r="G89" s="25">
        <v>0.02</v>
      </c>
      <c r="H89" s="6">
        <v>22</v>
      </c>
      <c r="I89" s="9">
        <v>800</v>
      </c>
      <c r="K89" s="8">
        <f t="shared" si="17"/>
        <v>16.093399999999999</v>
      </c>
      <c r="L89" s="22">
        <f t="shared" si="18"/>
        <v>9.8348800000000001</v>
      </c>
      <c r="M89" s="9">
        <f t="shared" si="23"/>
        <v>1.6363595692067416</v>
      </c>
      <c r="N89" s="35">
        <f t="shared" si="19"/>
        <v>21.724767310636544</v>
      </c>
      <c r="O89" s="5">
        <f t="shared" si="20"/>
        <v>22.2486876</v>
      </c>
      <c r="P89" s="15">
        <f t="shared" si="21"/>
        <v>88.994750400000001</v>
      </c>
      <c r="Q89" s="5">
        <f t="shared" si="24"/>
        <v>132.96820531063656</v>
      </c>
      <c r="R89" s="37">
        <f t="shared" si="25"/>
        <v>132.96820531063656</v>
      </c>
      <c r="S89" s="37">
        <f t="shared" si="26"/>
        <v>1307.7263430454734</v>
      </c>
      <c r="T89" s="17">
        <f t="shared" si="27"/>
        <v>0.5944195875961662</v>
      </c>
    </row>
    <row r="90" spans="3:20" ht="15.6">
      <c r="C90" s="8">
        <v>78</v>
      </c>
      <c r="D90" s="5"/>
      <c r="E90" s="6">
        <v>0.01</v>
      </c>
      <c r="F90" s="6">
        <f t="shared" si="22"/>
        <v>2.9199999999999964</v>
      </c>
      <c r="G90" s="25">
        <v>0</v>
      </c>
      <c r="H90" s="6">
        <v>23</v>
      </c>
      <c r="I90" s="9">
        <v>800</v>
      </c>
      <c r="K90" s="8">
        <f t="shared" si="17"/>
        <v>16.093399999999999</v>
      </c>
      <c r="L90" s="22">
        <f t="shared" si="18"/>
        <v>10.28192</v>
      </c>
      <c r="M90" s="9">
        <f t="shared" si="23"/>
        <v>1.5652135009803616</v>
      </c>
      <c r="N90" s="35">
        <f t="shared" si="19"/>
        <v>23.744632039931261</v>
      </c>
      <c r="O90" s="5">
        <f t="shared" si="20"/>
        <v>22.2486876</v>
      </c>
      <c r="P90" s="15">
        <f t="shared" si="21"/>
        <v>0</v>
      </c>
      <c r="Q90" s="5">
        <f t="shared" si="24"/>
        <v>45.993319639931258</v>
      </c>
      <c r="R90" s="37">
        <f t="shared" si="25"/>
        <v>45.993319639931258</v>
      </c>
      <c r="S90" s="37">
        <f t="shared" si="26"/>
        <v>472.89963307220199</v>
      </c>
      <c r="T90" s="17">
        <f t="shared" si="27"/>
        <v>0.20560802508146378</v>
      </c>
    </row>
    <row r="91" spans="3:20" ht="15.6">
      <c r="C91" s="8">
        <v>79</v>
      </c>
      <c r="D91" s="5"/>
      <c r="E91" s="6">
        <v>0.01</v>
      </c>
      <c r="F91" s="6">
        <f t="shared" si="22"/>
        <v>2.9299999999999962</v>
      </c>
      <c r="G91" s="25">
        <v>-0.02</v>
      </c>
      <c r="H91" s="6">
        <v>24</v>
      </c>
      <c r="I91" s="9">
        <v>800</v>
      </c>
      <c r="K91" s="8">
        <f t="shared" si="17"/>
        <v>16.093399999999999</v>
      </c>
      <c r="L91" s="22">
        <f t="shared" si="18"/>
        <v>10.728960000000001</v>
      </c>
      <c r="M91" s="9">
        <f t="shared" si="23"/>
        <v>1.4999962717728463</v>
      </c>
      <c r="N91" s="35">
        <f t="shared" si="19"/>
        <v>25.85426853497242</v>
      </c>
      <c r="O91" s="5">
        <f t="shared" si="20"/>
        <v>22.2486876</v>
      </c>
      <c r="P91" s="15">
        <f t="shared" si="21"/>
        <v>-88.994750400000001</v>
      </c>
      <c r="Q91" s="5">
        <f t="shared" si="24"/>
        <v>-40.891794265027585</v>
      </c>
      <c r="R91" s="37">
        <f t="shared" si="25"/>
        <v>0</v>
      </c>
      <c r="S91" s="37">
        <f t="shared" si="26"/>
        <v>0</v>
      </c>
      <c r="T91" s="17">
        <f t="shared" si="27"/>
        <v>0</v>
      </c>
    </row>
    <row r="92" spans="3:20" ht="16.2" thickBot="1">
      <c r="C92" s="10">
        <v>80</v>
      </c>
      <c r="D92" s="11"/>
      <c r="E92" s="12">
        <v>0.1</v>
      </c>
      <c r="F92" s="12">
        <f t="shared" si="22"/>
        <v>3.0299999999999963</v>
      </c>
      <c r="G92" s="26">
        <v>0</v>
      </c>
      <c r="H92" s="12">
        <v>23</v>
      </c>
      <c r="I92" s="13">
        <v>800</v>
      </c>
      <c r="K92" s="10">
        <f t="shared" si="17"/>
        <v>160.934</v>
      </c>
      <c r="L92" s="27">
        <f t="shared" si="18"/>
        <v>10.28192</v>
      </c>
      <c r="M92" s="13">
        <f t="shared" si="23"/>
        <v>15.652135009803617</v>
      </c>
      <c r="N92" s="35">
        <f t="shared" si="19"/>
        <v>23.744632039931261</v>
      </c>
      <c r="O92" s="11">
        <f t="shared" si="20"/>
        <v>22.2486876</v>
      </c>
      <c r="P92" s="15">
        <f t="shared" si="21"/>
        <v>0</v>
      </c>
      <c r="Q92" s="11">
        <f t="shared" si="24"/>
        <v>45.993319639931258</v>
      </c>
      <c r="R92" s="37">
        <f t="shared" si="25"/>
        <v>45.993319639931258</v>
      </c>
      <c r="S92" s="37">
        <f t="shared" si="26"/>
        <v>472.89963307220199</v>
      </c>
      <c r="T92" s="17">
        <f t="shared" si="27"/>
        <v>2.0560802508146381</v>
      </c>
    </row>
    <row r="93" spans="3:20">
      <c r="E93" s="4"/>
      <c r="F93" s="4"/>
      <c r="G93" s="4"/>
    </row>
  </sheetData>
  <mergeCells count="2">
    <mergeCell ref="L9:N9"/>
    <mergeCell ref="L7:N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64CB-6288-5740-BF62-8A665D613859}">
  <dimension ref="A1:Q85"/>
  <sheetViews>
    <sheetView zoomScale="70" zoomScaleNormal="70" workbookViewId="0">
      <selection activeCell="P8" sqref="P8"/>
    </sheetView>
  </sheetViews>
  <sheetFormatPr defaultColWidth="10.796875" defaultRowHeight="15"/>
  <cols>
    <col min="1" max="1" width="10.796875" style="3"/>
    <col min="2" max="2" width="17" style="46" customWidth="1"/>
    <col min="3" max="3" width="22.19921875" style="3" customWidth="1"/>
    <col min="4" max="4" width="21.19921875" style="3" customWidth="1"/>
    <col min="5" max="5" width="15.796875" style="3" customWidth="1"/>
    <col min="6" max="6" width="14.296875" style="3" customWidth="1"/>
    <col min="7" max="7" width="24.19921875" style="3" customWidth="1"/>
    <col min="8" max="8" width="16.19921875" style="3" bestFit="1" customWidth="1"/>
    <col min="9" max="9" width="16.19921875" style="3" customWidth="1"/>
    <col min="10" max="10" width="24.69921875" style="3" bestFit="1" customWidth="1"/>
    <col min="11" max="16384" width="10.796875" style="3"/>
  </cols>
  <sheetData>
    <row r="1" spans="1:17" ht="15.6">
      <c r="A1" s="1"/>
      <c r="B1" s="45"/>
      <c r="C1" s="1"/>
      <c r="D1" s="1"/>
      <c r="E1" s="1"/>
      <c r="F1" s="1"/>
      <c r="G1" s="1"/>
    </row>
    <row r="5" spans="1:17" ht="15.6">
      <c r="B5" s="49" t="s">
        <v>45</v>
      </c>
      <c r="C5" s="40" t="s">
        <v>55</v>
      </c>
      <c r="D5" s="40" t="s">
        <v>57</v>
      </c>
      <c r="E5" s="40" t="s">
        <v>56</v>
      </c>
      <c r="F5" s="40" t="s">
        <v>58</v>
      </c>
      <c r="G5" s="40" t="s">
        <v>59</v>
      </c>
      <c r="H5" s="40" t="s">
        <v>44</v>
      </c>
      <c r="I5" s="40" t="s">
        <v>54</v>
      </c>
      <c r="J5" s="39" t="s">
        <v>42</v>
      </c>
    </row>
    <row r="6" spans="1:17">
      <c r="B6" s="48">
        <f>Track_Profile!C13</f>
        <v>1</v>
      </c>
      <c r="C6" s="5">
        <f>0.5*rho*CdA*(Track_Profile!H13^2)</f>
        <v>140.37734374999999</v>
      </c>
      <c r="D6" s="5">
        <f t="shared" ref="D6:D69" si="0">Crr*m*g</f>
        <v>22.2486876</v>
      </c>
      <c r="E6" s="5">
        <f>m * g *Track_Profile!G13</f>
        <v>0</v>
      </c>
      <c r="F6" s="5">
        <f>SUM(C6:E6)</f>
        <v>162.62603135000001</v>
      </c>
      <c r="G6" s="5">
        <f>MAX(0,F6)</f>
        <v>162.62603135000001</v>
      </c>
      <c r="H6" s="5">
        <f>G6*Track_Profile!L13</f>
        <v>1817.5085263676001</v>
      </c>
      <c r="I6" s="5">
        <f>Track_Profile!M13</f>
        <v>15.83996062992126</v>
      </c>
      <c r="J6" s="5">
        <f>(H6*Track_Profile!M13)/3600</f>
        <v>7.9970176395024977</v>
      </c>
    </row>
    <row r="7" spans="1:17" ht="15.6">
      <c r="B7" s="48">
        <f>Track_Profile!C14</f>
        <v>2</v>
      </c>
      <c r="C7" s="5">
        <f>0.5*rho*CdA*(Track_Profile!H14^2)</f>
        <v>151.83213499999999</v>
      </c>
      <c r="D7" s="5">
        <f t="shared" si="0"/>
        <v>22.2486876</v>
      </c>
      <c r="E7" s="5">
        <f>m * g *Track_Profile!G14</f>
        <v>133.49212559999998</v>
      </c>
      <c r="F7" s="5">
        <f t="shared" ref="F7:F70" si="1">SUM(C7:E7)</f>
        <v>307.57294819999998</v>
      </c>
      <c r="G7" s="5">
        <f t="shared" ref="G7:G70" si="2">MAX(0,F7)</f>
        <v>307.57294819999998</v>
      </c>
      <c r="H7" s="5">
        <f>G7*Track_Profile!L14</f>
        <v>3574.9326798465277</v>
      </c>
      <c r="I7" s="5">
        <f>Track_Profile!M14</f>
        <v>1.3846119431749353</v>
      </c>
      <c r="J7" s="5">
        <f>(H7*Track_Profile!M14)/3600</f>
        <v>1.3749706901560776</v>
      </c>
      <c r="M7" s="39" t="s">
        <v>68</v>
      </c>
      <c r="N7" s="50"/>
      <c r="O7" s="50"/>
      <c r="P7" s="51">
        <f>SUM(J:J)</f>
        <v>353.57488666181041</v>
      </c>
      <c r="Q7" s="5" t="s">
        <v>21</v>
      </c>
    </row>
    <row r="8" spans="1:17">
      <c r="B8" s="48">
        <f>Track_Profile!C15</f>
        <v>3</v>
      </c>
      <c r="C8" s="5">
        <f>0.5*rho*CdA*(Track_Profile!H15^2)</f>
        <v>163.73613374999999</v>
      </c>
      <c r="D8" s="5">
        <f t="shared" si="0"/>
        <v>22.2486876</v>
      </c>
      <c r="E8" s="5">
        <f>m * g *Track_Profile!G15</f>
        <v>44.4973752</v>
      </c>
      <c r="F8" s="5">
        <f t="shared" si="1"/>
        <v>230.48219655</v>
      </c>
      <c r="G8" s="5">
        <f t="shared" si="2"/>
        <v>230.48219655</v>
      </c>
      <c r="H8" s="5">
        <f>G8*Track_Profile!L15</f>
        <v>2781.9385509342237</v>
      </c>
      <c r="I8" s="5">
        <f>Track_Profile!M15</f>
        <v>1.3333300193536415</v>
      </c>
      <c r="J8" s="5">
        <f>(H8*Track_Profile!M15)/3600</f>
        <v>1.030345050543825</v>
      </c>
      <c r="P8" s="3">
        <f>5000/P7</f>
        <v>14.1412758332648</v>
      </c>
    </row>
    <row r="9" spans="1:17">
      <c r="B9" s="48">
        <f>Track_Profile!C16</f>
        <v>4</v>
      </c>
      <c r="C9" s="5">
        <f>0.5*rho*CdA*(Track_Profile!H16^2)</f>
        <v>176.08933999999999</v>
      </c>
      <c r="D9" s="5">
        <f t="shared" si="0"/>
        <v>22.2486876</v>
      </c>
      <c r="E9" s="5">
        <f>m * g *Track_Profile!G16</f>
        <v>0</v>
      </c>
      <c r="F9" s="5">
        <f t="shared" si="1"/>
        <v>198.3380276</v>
      </c>
      <c r="G9" s="5">
        <f t="shared" si="2"/>
        <v>198.3380276</v>
      </c>
      <c r="H9" s="5">
        <f>G9*Track_Profile!L16</f>
        <v>2482.6208920325121</v>
      </c>
      <c r="I9" s="5">
        <f>Track_Profile!M16</f>
        <v>3.8571332702730334</v>
      </c>
      <c r="J9" s="5">
        <f>(H9*Track_Profile!M16)/3600</f>
        <v>2.6599443444815329</v>
      </c>
    </row>
    <row r="10" spans="1:17">
      <c r="B10" s="48">
        <f>Track_Profile!C17</f>
        <v>5</v>
      </c>
      <c r="C10" s="5">
        <f>0.5*rho*CdA*(Track_Profile!H17^2)</f>
        <v>188.89175374999999</v>
      </c>
      <c r="D10" s="5">
        <f t="shared" si="0"/>
        <v>22.2486876</v>
      </c>
      <c r="E10" s="5">
        <f>m * g *Track_Profile!G17</f>
        <v>44.4973752</v>
      </c>
      <c r="F10" s="5">
        <f t="shared" si="1"/>
        <v>255.63781655</v>
      </c>
      <c r="G10" s="5">
        <f t="shared" si="2"/>
        <v>255.63781655</v>
      </c>
      <c r="H10" s="5">
        <f>G10*Track_Profile!L17</f>
        <v>3314.1295558048478</v>
      </c>
      <c r="I10" s="5">
        <f>Track_Profile!M17</f>
        <v>1.2413762249154592</v>
      </c>
      <c r="J10" s="5">
        <f>(H10*Track_Profile!M17)/3600</f>
        <v>1.142800454684936</v>
      </c>
    </row>
    <row r="11" spans="1:17">
      <c r="B11" s="48">
        <f>Track_Profile!C18</f>
        <v>6</v>
      </c>
      <c r="C11" s="5">
        <f>0.5*rho*CdA*(Track_Profile!H18^2)</f>
        <v>188.89175374999999</v>
      </c>
      <c r="D11" s="5">
        <f t="shared" si="0"/>
        <v>22.2486876</v>
      </c>
      <c r="E11" s="5">
        <f>m * g *Track_Profile!G18</f>
        <v>88.994750400000001</v>
      </c>
      <c r="F11" s="5">
        <f t="shared" si="1"/>
        <v>300.13519174999999</v>
      </c>
      <c r="G11" s="5">
        <f t="shared" si="2"/>
        <v>300.13519174999999</v>
      </c>
      <c r="H11" s="5">
        <f>G11*Track_Profile!L18</f>
        <v>3891.0006474776796</v>
      </c>
      <c r="I11" s="5">
        <f>Track_Profile!M18</f>
        <v>1.2413762249154592</v>
      </c>
      <c r="J11" s="5">
        <f>(H11*Track_Profile!M18)/3600</f>
        <v>1.3417210263637358</v>
      </c>
    </row>
    <row r="12" spans="1:17">
      <c r="B12" s="48">
        <f>Track_Profile!C19</f>
        <v>7</v>
      </c>
      <c r="C12" s="5">
        <f>0.5*rho*CdA*(Track_Profile!H19^2)</f>
        <v>188.89175374999999</v>
      </c>
      <c r="D12" s="5">
        <f t="shared" si="0"/>
        <v>22.2486876</v>
      </c>
      <c r="E12" s="5">
        <f>m * g *Track_Profile!G19</f>
        <v>177.9895008</v>
      </c>
      <c r="F12" s="5">
        <f t="shared" si="1"/>
        <v>389.12994215000003</v>
      </c>
      <c r="G12" s="5">
        <f t="shared" si="2"/>
        <v>389.12994215000003</v>
      </c>
      <c r="H12" s="5">
        <f>G12*Track_Profile!L19</f>
        <v>5044.7428308233439</v>
      </c>
      <c r="I12" s="5">
        <f>Track_Profile!M19</f>
        <v>1.2413762249154592</v>
      </c>
      <c r="J12" s="5">
        <f>(H12*Track_Profile!M19)/3600</f>
        <v>1.7395621697213359</v>
      </c>
    </row>
    <row r="13" spans="1:17">
      <c r="B13" s="48">
        <f>Track_Profile!C20</f>
        <v>8</v>
      </c>
      <c r="C13" s="5">
        <f>0.5*rho*CdA*(Track_Profile!H20^2)</f>
        <v>202.14337499999999</v>
      </c>
      <c r="D13" s="5">
        <f t="shared" si="0"/>
        <v>22.2486876</v>
      </c>
      <c r="E13" s="5">
        <f>m * g *Track_Profile!G20</f>
        <v>88.994750400000001</v>
      </c>
      <c r="F13" s="5">
        <f t="shared" si="1"/>
        <v>313.38681300000002</v>
      </c>
      <c r="G13" s="5">
        <f t="shared" si="2"/>
        <v>313.38681300000002</v>
      </c>
      <c r="H13" s="5">
        <f>G13*Track_Profile!L20</f>
        <v>4202.8932265056001</v>
      </c>
      <c r="I13" s="5">
        <f>Track_Profile!M20</f>
        <v>1.1999970174182772</v>
      </c>
      <c r="J13" s="5">
        <f>(H13*Track_Profile!M20)/3600</f>
        <v>1.4009609267595</v>
      </c>
    </row>
    <row r="14" spans="1:17">
      <c r="B14" s="48">
        <f>Track_Profile!C21</f>
        <v>9</v>
      </c>
      <c r="C14" s="5">
        <f>0.5*rho*CdA*(Track_Profile!H21^2)</f>
        <v>215.84420374999999</v>
      </c>
      <c r="D14" s="5">
        <f t="shared" si="0"/>
        <v>22.2486876</v>
      </c>
      <c r="E14" s="5">
        <f>m * g *Track_Profile!G21</f>
        <v>0</v>
      </c>
      <c r="F14" s="5">
        <f t="shared" si="1"/>
        <v>238.09289135</v>
      </c>
      <c r="G14" s="5">
        <f t="shared" si="2"/>
        <v>238.09289135</v>
      </c>
      <c r="H14" s="5">
        <f>G14*Track_Profile!L21</f>
        <v>3299.5484306222243</v>
      </c>
      <c r="I14" s="5">
        <f>Track_Profile!M21</f>
        <v>1.161287436211236</v>
      </c>
      <c r="J14" s="5">
        <f>(H14*Track_Profile!M21)/3600</f>
        <v>1.0643678160144694</v>
      </c>
    </row>
    <row r="15" spans="1:17">
      <c r="B15" s="48">
        <f>Track_Profile!C22</f>
        <v>10</v>
      </c>
      <c r="C15" s="5">
        <f>0.5*rho*CdA*(Track_Profile!H22^2)</f>
        <v>202.14337499999999</v>
      </c>
      <c r="D15" s="5">
        <f t="shared" si="0"/>
        <v>22.2486876</v>
      </c>
      <c r="E15" s="5">
        <f>m * g *Track_Profile!G22</f>
        <v>44.4973752</v>
      </c>
      <c r="F15" s="5">
        <f t="shared" si="1"/>
        <v>268.8894378</v>
      </c>
      <c r="G15" s="5">
        <f t="shared" si="2"/>
        <v>268.8894378</v>
      </c>
      <c r="H15" s="5">
        <f>G15*Track_Profile!L22</f>
        <v>3606.1300282233597</v>
      </c>
      <c r="I15" s="5">
        <f>Track_Profile!M22</f>
        <v>1.1999970174182772</v>
      </c>
      <c r="J15" s="5">
        <f>(H15*Track_Profile!M22)/3600</f>
        <v>1.2020403550807</v>
      </c>
    </row>
    <row r="16" spans="1:17">
      <c r="B16" s="48">
        <f>Track_Profile!C23</f>
        <v>11</v>
      </c>
      <c r="C16" s="5">
        <f>0.5*rho*CdA*(Track_Profile!H23^2)</f>
        <v>163.73613374999999</v>
      </c>
      <c r="D16" s="5">
        <f t="shared" si="0"/>
        <v>22.2486876</v>
      </c>
      <c r="E16" s="5">
        <f>m * g *Track_Profile!G23</f>
        <v>0</v>
      </c>
      <c r="F16" s="5">
        <f t="shared" si="1"/>
        <v>185.98482135</v>
      </c>
      <c r="G16" s="5">
        <f t="shared" si="2"/>
        <v>185.98482135</v>
      </c>
      <c r="H16" s="5">
        <f>G16*Track_Profile!L23</f>
        <v>2244.851672480208</v>
      </c>
      <c r="I16" s="5">
        <f>Track_Profile!M23</f>
        <v>1.3333300193536415</v>
      </c>
      <c r="J16" s="5">
        <f>(H16*Track_Profile!M23)/3600</f>
        <v>0.83142447886502513</v>
      </c>
    </row>
    <row r="17" spans="2:10">
      <c r="B17" s="48">
        <f>Track_Profile!C24</f>
        <v>12</v>
      </c>
      <c r="C17" s="5">
        <f>0.5*rho*CdA*(Track_Profile!H24^2)</f>
        <v>151.83213499999999</v>
      </c>
      <c r="D17" s="5">
        <f t="shared" si="0"/>
        <v>22.2486876</v>
      </c>
      <c r="E17" s="5">
        <f>m * g *Track_Profile!G24</f>
        <v>133.49212559999998</v>
      </c>
      <c r="F17" s="5">
        <f t="shared" si="1"/>
        <v>307.57294819999998</v>
      </c>
      <c r="G17" s="5">
        <f t="shared" si="2"/>
        <v>307.57294819999998</v>
      </c>
      <c r="H17" s="5">
        <f>G17*Track_Profile!L24</f>
        <v>3574.9326798465277</v>
      </c>
      <c r="I17" s="5">
        <f>Track_Profile!M24</f>
        <v>2.7692238863498706</v>
      </c>
      <c r="J17" s="5">
        <f>(H17*Track_Profile!M24)/3600</f>
        <v>2.7499413803121553</v>
      </c>
    </row>
    <row r="18" spans="2:10">
      <c r="B18" s="48">
        <f>Track_Profile!C25</f>
        <v>13</v>
      </c>
      <c r="C18" s="5">
        <f>0.5*rho*CdA*(Track_Profile!H25^2)</f>
        <v>202.14337499999999</v>
      </c>
      <c r="D18" s="5">
        <f t="shared" si="0"/>
        <v>22.2486876</v>
      </c>
      <c r="E18" s="5">
        <f>m * g *Track_Profile!G25</f>
        <v>-44.4973752</v>
      </c>
      <c r="F18" s="5">
        <f t="shared" si="1"/>
        <v>179.89468740000001</v>
      </c>
      <c r="G18" s="5">
        <f t="shared" si="2"/>
        <v>179.89468740000001</v>
      </c>
      <c r="H18" s="5">
        <f>G18*Track_Profile!L25</f>
        <v>2412.6036316588797</v>
      </c>
      <c r="I18" s="5">
        <f>Track_Profile!M25</f>
        <v>1.1999970174182772</v>
      </c>
      <c r="J18" s="5">
        <f>(H18*Track_Profile!M25)/3600</f>
        <v>0.80419921172309994</v>
      </c>
    </row>
    <row r="19" spans="2:10">
      <c r="B19" s="48">
        <f>Track_Profile!C26</f>
        <v>14</v>
      </c>
      <c r="C19" s="5">
        <f>0.5*rho*CdA*(Track_Profile!H26^2)</f>
        <v>229.99423999999999</v>
      </c>
      <c r="D19" s="5">
        <f t="shared" si="0"/>
        <v>22.2486876</v>
      </c>
      <c r="E19" s="5">
        <f>m * g *Track_Profile!G26</f>
        <v>-133.49212559999998</v>
      </c>
      <c r="F19" s="5">
        <f t="shared" si="1"/>
        <v>118.75080200000002</v>
      </c>
      <c r="G19" s="5">
        <f t="shared" si="2"/>
        <v>118.75080200000002</v>
      </c>
      <c r="H19" s="5">
        <f>G19*Track_Profile!L26</f>
        <v>1698.7634728345604</v>
      </c>
      <c r="I19" s="5">
        <f>Track_Profile!M26</f>
        <v>1.124997203829635</v>
      </c>
      <c r="J19" s="5">
        <f>(H19*Track_Profile!M26)/3600</f>
        <v>0.53086226580744456</v>
      </c>
    </row>
    <row r="20" spans="2:10">
      <c r="B20" s="48">
        <f>Track_Profile!C27</f>
        <v>15</v>
      </c>
      <c r="C20" s="5">
        <f>0.5*rho*CdA*(Track_Profile!H27^2)</f>
        <v>229.99423999999999</v>
      </c>
      <c r="D20" s="5">
        <f t="shared" si="0"/>
        <v>22.2486876</v>
      </c>
      <c r="E20" s="5">
        <f>m * g *Track_Profile!G27</f>
        <v>-44.4973752</v>
      </c>
      <c r="F20" s="5">
        <f t="shared" si="1"/>
        <v>207.74555240000001</v>
      </c>
      <c r="G20" s="5">
        <f t="shared" si="2"/>
        <v>207.74555240000001</v>
      </c>
      <c r="H20" s="5">
        <f>G20*Track_Profile!L27</f>
        <v>2971.8582958366719</v>
      </c>
      <c r="I20" s="5">
        <f>Track_Profile!M27</f>
        <v>1.124997203829635</v>
      </c>
      <c r="J20" s="5">
        <f>(H20*Track_Profile!M27)/3600</f>
        <v>0.92870340916504446</v>
      </c>
    </row>
    <row r="21" spans="2:10">
      <c r="B21" s="48">
        <f>Track_Profile!C28</f>
        <v>16</v>
      </c>
      <c r="C21" s="5">
        <f>0.5*rho*CdA*(Track_Profile!H28^2)</f>
        <v>259.64193499999999</v>
      </c>
      <c r="D21" s="5">
        <f t="shared" si="0"/>
        <v>22.2486876</v>
      </c>
      <c r="E21" s="5">
        <f>m * g *Track_Profile!G28</f>
        <v>0</v>
      </c>
      <c r="F21" s="5">
        <f t="shared" si="1"/>
        <v>281.89062259999997</v>
      </c>
      <c r="G21" s="5">
        <f t="shared" si="2"/>
        <v>281.89062259999997</v>
      </c>
      <c r="H21" s="5">
        <f>G21*Track_Profile!L28</f>
        <v>4284.5570535215356</v>
      </c>
      <c r="I21" s="5">
        <f>Track_Profile!M28</f>
        <v>2.1176417954440185</v>
      </c>
      <c r="J21" s="5">
        <f>(H21*Track_Profile!M28)/3600</f>
        <v>2.5203214143060215</v>
      </c>
    </row>
    <row r="22" spans="2:10">
      <c r="B22" s="48">
        <f>Track_Profile!C29</f>
        <v>17</v>
      </c>
      <c r="C22" s="5">
        <f>0.5*rho*CdA*(Track_Profile!H29^2)</f>
        <v>291.08645999999999</v>
      </c>
      <c r="D22" s="5">
        <f t="shared" si="0"/>
        <v>22.2486876</v>
      </c>
      <c r="E22" s="5">
        <f>m * g *Track_Profile!G29</f>
        <v>-88.994750400000001</v>
      </c>
      <c r="F22" s="5">
        <f t="shared" si="1"/>
        <v>224.34039719999998</v>
      </c>
      <c r="G22" s="5">
        <f t="shared" si="2"/>
        <v>224.34039719999998</v>
      </c>
      <c r="H22" s="5">
        <f>G22*Track_Profile!L29</f>
        <v>3610.408721914368</v>
      </c>
      <c r="I22" s="5">
        <f>Track_Profile!M29</f>
        <v>4.9999875725761544</v>
      </c>
      <c r="J22" s="5">
        <f>(H22*Track_Profile!M29)/3600</f>
        <v>5.014444094858999</v>
      </c>
    </row>
    <row r="23" spans="2:10">
      <c r="B23" s="48">
        <f>Track_Profile!C30</f>
        <v>18</v>
      </c>
      <c r="C23" s="5">
        <f>0.5*rho*CdA*(Track_Profile!H30^2)</f>
        <v>259.64193499999999</v>
      </c>
      <c r="D23" s="5">
        <f t="shared" si="0"/>
        <v>22.2486876</v>
      </c>
      <c r="E23" s="5">
        <f>m * g *Track_Profile!G30</f>
        <v>-44.4973752</v>
      </c>
      <c r="F23" s="5">
        <f t="shared" si="1"/>
        <v>237.39324739999998</v>
      </c>
      <c r="G23" s="5">
        <f t="shared" si="2"/>
        <v>237.39324739999998</v>
      </c>
      <c r="H23" s="5">
        <f>G23*Track_Profile!L30</f>
        <v>3608.2254288016638</v>
      </c>
      <c r="I23" s="5">
        <f>Track_Profile!M30</f>
        <v>1.0588208977220093</v>
      </c>
      <c r="J23" s="5">
        <f>(H23*Track_Profile!M30)/3600</f>
        <v>1.0612401354742109</v>
      </c>
    </row>
    <row r="24" spans="2:10">
      <c r="B24" s="48">
        <f>Track_Profile!C31</f>
        <v>19</v>
      </c>
      <c r="C24" s="5">
        <f>0.5*rho*CdA*(Track_Profile!H31^2)</f>
        <v>324.32781499999999</v>
      </c>
      <c r="D24" s="5">
        <f t="shared" si="0"/>
        <v>22.2486876</v>
      </c>
      <c r="E24" s="5">
        <f>m * g *Track_Profile!G31</f>
        <v>0</v>
      </c>
      <c r="F24" s="5">
        <f t="shared" si="1"/>
        <v>346.57650259999997</v>
      </c>
      <c r="G24" s="5">
        <f t="shared" si="2"/>
        <v>346.57650259999997</v>
      </c>
      <c r="H24" s="5">
        <f>G24*Track_Profile!L31</f>
        <v>5887.4752694475519</v>
      </c>
      <c r="I24" s="5">
        <f>Track_Profile!M31</f>
        <v>7.578928531062803</v>
      </c>
      <c r="J24" s="5">
        <f>(H24*Track_Profile!M31)/3600</f>
        <v>12.394653970984086</v>
      </c>
    </row>
    <row r="25" spans="2:10">
      <c r="B25" s="48">
        <f>Track_Profile!C32</f>
        <v>20</v>
      </c>
      <c r="C25" s="5">
        <f>0.5*rho*CdA*(Track_Profile!H32^2)</f>
        <v>291.08645999999999</v>
      </c>
      <c r="D25" s="5">
        <f t="shared" si="0"/>
        <v>22.2486876</v>
      </c>
      <c r="E25" s="5">
        <f>m * g *Track_Profile!G32</f>
        <v>0</v>
      </c>
      <c r="F25" s="5">
        <f t="shared" si="1"/>
        <v>313.33514759999997</v>
      </c>
      <c r="G25" s="5">
        <f t="shared" si="2"/>
        <v>313.33514759999997</v>
      </c>
      <c r="H25" s="5">
        <f>G25*Track_Profile!L32</f>
        <v>5042.6403977917435</v>
      </c>
      <c r="I25" s="5">
        <f>Track_Profile!M32</f>
        <v>0.99999751451523089</v>
      </c>
      <c r="J25" s="5">
        <f>(H25*Track_Profile!M32)/3600</f>
        <v>1.4007299623293996</v>
      </c>
    </row>
    <row r="26" spans="2:10">
      <c r="B26" s="48">
        <f>Track_Profile!C33</f>
        <v>21</v>
      </c>
      <c r="C26" s="5">
        <f>0.5*rho*CdA*(Track_Profile!H33^2)</f>
        <v>229.99423999999999</v>
      </c>
      <c r="D26" s="5">
        <f t="shared" si="0"/>
        <v>22.2486876</v>
      </c>
      <c r="E26" s="5">
        <f>m * g *Track_Profile!G33</f>
        <v>133.49212559999998</v>
      </c>
      <c r="F26" s="5">
        <f t="shared" si="1"/>
        <v>385.73505319999998</v>
      </c>
      <c r="G26" s="5">
        <f t="shared" si="2"/>
        <v>385.73505319999998</v>
      </c>
      <c r="H26" s="5">
        <f>G26*Track_Profile!L33</f>
        <v>5518.0479418408959</v>
      </c>
      <c r="I26" s="5">
        <f>Track_Profile!M33</f>
        <v>1.124997203829635</v>
      </c>
      <c r="J26" s="5">
        <f>(H26*Track_Profile!M33)/3600</f>
        <v>1.7243856958802444</v>
      </c>
    </row>
    <row r="27" spans="2:10">
      <c r="B27" s="48">
        <f>Track_Profile!C34</f>
        <v>22</v>
      </c>
      <c r="C27" s="5">
        <f>0.5*rho*CdA*(Track_Profile!H34^2)</f>
        <v>229.99423999999999</v>
      </c>
      <c r="D27" s="5">
        <f t="shared" si="0"/>
        <v>22.2486876</v>
      </c>
      <c r="E27" s="5">
        <f>m * g *Track_Profile!G34</f>
        <v>88.994750400000001</v>
      </c>
      <c r="F27" s="5">
        <f t="shared" si="1"/>
        <v>341.23767800000002</v>
      </c>
      <c r="G27" s="5">
        <f t="shared" si="2"/>
        <v>341.23767800000002</v>
      </c>
      <c r="H27" s="5">
        <f>G27*Track_Profile!L34</f>
        <v>4881.5005303398402</v>
      </c>
      <c r="I27" s="5">
        <f>Track_Profile!M34</f>
        <v>1.124997203829635</v>
      </c>
      <c r="J27" s="5">
        <f>(H27*Track_Profile!M34)/3600</f>
        <v>1.5254651242014445</v>
      </c>
    </row>
    <row r="28" spans="2:10">
      <c r="B28" s="48">
        <f>Track_Profile!C35</f>
        <v>23</v>
      </c>
      <c r="C28" s="5">
        <f>0.5*rho*CdA*(Track_Profile!H35^2)</f>
        <v>259.64193499999999</v>
      </c>
      <c r="D28" s="5">
        <f t="shared" si="0"/>
        <v>22.2486876</v>
      </c>
      <c r="E28" s="5">
        <f>m * g *Track_Profile!G35</f>
        <v>0</v>
      </c>
      <c r="F28" s="5">
        <f t="shared" si="1"/>
        <v>281.89062259999997</v>
      </c>
      <c r="G28" s="5">
        <f t="shared" si="2"/>
        <v>281.89062259999997</v>
      </c>
      <c r="H28" s="5">
        <f>G28*Track_Profile!L35</f>
        <v>4284.5570535215356</v>
      </c>
      <c r="I28" s="5">
        <f>Track_Profile!M35</f>
        <v>1.0588208977220093</v>
      </c>
      <c r="J28" s="5">
        <f>(H28*Track_Profile!M35)/3600</f>
        <v>1.2601607071530108</v>
      </c>
    </row>
    <row r="29" spans="2:10">
      <c r="B29" s="48">
        <f>Track_Profile!C36</f>
        <v>24</v>
      </c>
      <c r="C29" s="5">
        <f>0.5*rho*CdA*(Track_Profile!H36^2)</f>
        <v>291.08645999999999</v>
      </c>
      <c r="D29" s="5">
        <f t="shared" si="0"/>
        <v>22.2486876</v>
      </c>
      <c r="E29" s="5">
        <f>m * g *Track_Profile!G36</f>
        <v>-88.994750400000001</v>
      </c>
      <c r="F29" s="5">
        <f t="shared" si="1"/>
        <v>224.34039719999998</v>
      </c>
      <c r="G29" s="5">
        <f t="shared" si="2"/>
        <v>224.34039719999998</v>
      </c>
      <c r="H29" s="5">
        <f>G29*Track_Profile!L36</f>
        <v>3610.408721914368</v>
      </c>
      <c r="I29" s="5">
        <f>Track_Profile!M36</f>
        <v>1.9999950290304618</v>
      </c>
      <c r="J29" s="5">
        <f>(H29*Track_Profile!M36)/3600</f>
        <v>2.0057776379435999</v>
      </c>
    </row>
    <row r="30" spans="2:10">
      <c r="B30" s="48">
        <f>Track_Profile!C37</f>
        <v>25</v>
      </c>
      <c r="C30" s="5">
        <f>0.5*rho*CdA*(Track_Profile!H37^2)</f>
        <v>324.32781499999999</v>
      </c>
      <c r="D30" s="5">
        <f t="shared" si="0"/>
        <v>22.2486876</v>
      </c>
      <c r="E30" s="5">
        <f>m * g *Track_Profile!G37</f>
        <v>0</v>
      </c>
      <c r="F30" s="5">
        <f t="shared" si="1"/>
        <v>346.57650259999997</v>
      </c>
      <c r="G30" s="5">
        <f t="shared" si="2"/>
        <v>346.57650259999997</v>
      </c>
      <c r="H30" s="5">
        <f>G30*Track_Profile!L37</f>
        <v>5887.4752694475519</v>
      </c>
      <c r="I30" s="5">
        <f>Track_Profile!M37</f>
        <v>13.263124929359908</v>
      </c>
      <c r="J30" s="5">
        <f>(H30*Track_Profile!M37)/3600</f>
        <v>21.690644449222155</v>
      </c>
    </row>
    <row r="31" spans="2:10">
      <c r="B31" s="48">
        <f>Track_Profile!C38</f>
        <v>26</v>
      </c>
      <c r="C31" s="5">
        <f>0.5*rho*CdA*(Track_Profile!H38^2)</f>
        <v>176.08933999999999</v>
      </c>
      <c r="D31" s="5">
        <f t="shared" si="0"/>
        <v>22.2486876</v>
      </c>
      <c r="E31" s="5">
        <f>m * g *Track_Profile!G38</f>
        <v>0</v>
      </c>
      <c r="F31" s="5">
        <f t="shared" si="1"/>
        <v>198.3380276</v>
      </c>
      <c r="G31" s="5">
        <f t="shared" si="2"/>
        <v>198.3380276</v>
      </c>
      <c r="H31" s="5">
        <f>G31*Track_Profile!L38</f>
        <v>2482.6208920325121</v>
      </c>
      <c r="I31" s="5">
        <f>Track_Profile!M38</f>
        <v>11.571399810819102</v>
      </c>
      <c r="J31" s="5">
        <f>(H31*Track_Profile!M38)/3600</f>
        <v>7.9798330334446002</v>
      </c>
    </row>
    <row r="32" spans="2:10">
      <c r="B32" s="48">
        <f>Track_Profile!C39</f>
        <v>27</v>
      </c>
      <c r="C32" s="5">
        <f>0.5*rho*CdA*(Track_Profile!H39^2)</f>
        <v>324.32781499999999</v>
      </c>
      <c r="D32" s="5">
        <f t="shared" si="0"/>
        <v>22.2486876</v>
      </c>
      <c r="E32" s="5">
        <f>m * g *Track_Profile!G39</f>
        <v>0</v>
      </c>
      <c r="F32" s="5">
        <f t="shared" si="1"/>
        <v>346.57650259999997</v>
      </c>
      <c r="G32" s="5">
        <f t="shared" si="2"/>
        <v>346.57650259999997</v>
      </c>
      <c r="H32" s="5">
        <f>G32*Track_Profile!L39</f>
        <v>5887.4752694475519</v>
      </c>
      <c r="I32" s="5">
        <f>Track_Profile!M39</f>
        <v>17.052589194891308</v>
      </c>
      <c r="J32" s="5">
        <f>(H32*Track_Profile!M39)/3600</f>
        <v>27.887971434714199</v>
      </c>
    </row>
    <row r="33" spans="2:10">
      <c r="B33" s="48">
        <f>Track_Profile!C40</f>
        <v>28</v>
      </c>
      <c r="C33" s="5">
        <f>0.5*rho*CdA*(Track_Profile!H40^2)</f>
        <v>176.08933999999999</v>
      </c>
      <c r="D33" s="5">
        <f t="shared" si="0"/>
        <v>22.2486876</v>
      </c>
      <c r="E33" s="5">
        <f>m * g *Track_Profile!G40</f>
        <v>0</v>
      </c>
      <c r="F33" s="5">
        <f t="shared" si="1"/>
        <v>198.3380276</v>
      </c>
      <c r="G33" s="5">
        <f t="shared" si="2"/>
        <v>198.3380276</v>
      </c>
      <c r="H33" s="5">
        <f>G33*Track_Profile!L40</f>
        <v>2482.6208920325121</v>
      </c>
      <c r="I33" s="5">
        <f>Track_Profile!M40</f>
        <v>12.857110900910113</v>
      </c>
      <c r="J33" s="5">
        <f>(H33*Track_Profile!M40)/3600</f>
        <v>8.8664811482717774</v>
      </c>
    </row>
    <row r="34" spans="2:10">
      <c r="B34" s="48">
        <f>Track_Profile!C41</f>
        <v>29</v>
      </c>
      <c r="C34" s="5">
        <f>0.5*rho*CdA*(Track_Profile!H41^2)</f>
        <v>176.08933999999999</v>
      </c>
      <c r="D34" s="5">
        <f t="shared" si="0"/>
        <v>22.2486876</v>
      </c>
      <c r="E34" s="5">
        <f>m * g *Track_Profile!G41</f>
        <v>0</v>
      </c>
      <c r="F34" s="5">
        <f t="shared" si="1"/>
        <v>198.3380276</v>
      </c>
      <c r="G34" s="5">
        <f t="shared" si="2"/>
        <v>198.3380276</v>
      </c>
      <c r="H34" s="5">
        <f>G34*Track_Profile!L41</f>
        <v>2482.6208920325121</v>
      </c>
      <c r="I34" s="5">
        <f>Track_Profile!M41</f>
        <v>11.571399810819102</v>
      </c>
      <c r="J34" s="5">
        <f>(H34*Track_Profile!M41)/3600</f>
        <v>7.9798330334446002</v>
      </c>
    </row>
    <row r="35" spans="2:10">
      <c r="B35" s="48">
        <f>Track_Profile!C42</f>
        <v>30</v>
      </c>
      <c r="C35" s="5">
        <f>0.5*rho*CdA*(Track_Profile!H42^2)</f>
        <v>229.99423999999999</v>
      </c>
      <c r="D35" s="5">
        <f t="shared" si="0"/>
        <v>22.2486876</v>
      </c>
      <c r="E35" s="5">
        <f>m * g *Track_Profile!G42</f>
        <v>0</v>
      </c>
      <c r="F35" s="5">
        <f t="shared" si="1"/>
        <v>252.2429276</v>
      </c>
      <c r="G35" s="5">
        <f t="shared" si="2"/>
        <v>252.2429276</v>
      </c>
      <c r="H35" s="5">
        <f>G35*Track_Profile!L42</f>
        <v>3608.405707337728</v>
      </c>
      <c r="I35" s="5">
        <f>Track_Profile!M42</f>
        <v>11.249972038296349</v>
      </c>
      <c r="J35" s="5">
        <f>(H35*Track_Profile!M42)/3600</f>
        <v>11.276239808438444</v>
      </c>
    </row>
    <row r="36" spans="2:10">
      <c r="B36" s="48">
        <f>Track_Profile!C43</f>
        <v>31</v>
      </c>
      <c r="C36" s="5">
        <f>0.5*rho*CdA*(Track_Profile!H43^2)</f>
        <v>176.08933999999999</v>
      </c>
      <c r="D36" s="5">
        <f t="shared" si="0"/>
        <v>22.2486876</v>
      </c>
      <c r="E36" s="5">
        <f>m * g *Track_Profile!G43</f>
        <v>0</v>
      </c>
      <c r="F36" s="5">
        <f t="shared" si="1"/>
        <v>198.3380276</v>
      </c>
      <c r="G36" s="5">
        <f t="shared" si="2"/>
        <v>198.3380276</v>
      </c>
      <c r="H36" s="5">
        <f>G36*Track_Profile!L43</f>
        <v>2482.6208920325121</v>
      </c>
      <c r="I36" s="5">
        <f>Track_Profile!M43</f>
        <v>8.9999776306370798</v>
      </c>
      <c r="J36" s="5">
        <f>(H36*Track_Profile!M43)/3600</f>
        <v>6.2065368037902449</v>
      </c>
    </row>
    <row r="37" spans="2:10">
      <c r="B37" s="48">
        <f>Track_Profile!C44</f>
        <v>32</v>
      </c>
      <c r="C37" s="5">
        <f>0.5*rho*CdA*(Track_Profile!H44^2)</f>
        <v>324.32781499999999</v>
      </c>
      <c r="D37" s="5">
        <f t="shared" si="0"/>
        <v>22.2486876</v>
      </c>
      <c r="E37" s="5">
        <f>m * g *Track_Profile!G44</f>
        <v>0</v>
      </c>
      <c r="F37" s="5">
        <f t="shared" si="1"/>
        <v>346.57650259999997</v>
      </c>
      <c r="G37" s="5">
        <f t="shared" si="2"/>
        <v>346.57650259999997</v>
      </c>
      <c r="H37" s="5">
        <f>G37*Track_Profile!L44</f>
        <v>5887.4752694475519</v>
      </c>
      <c r="I37" s="5">
        <f>Track_Profile!M44</f>
        <v>13.263124929359908</v>
      </c>
      <c r="J37" s="5">
        <f>(H37*Track_Profile!M44)/3600</f>
        <v>21.690644449222155</v>
      </c>
    </row>
    <row r="38" spans="2:10">
      <c r="B38" s="48">
        <f>Track_Profile!C45</f>
        <v>33</v>
      </c>
      <c r="C38" s="5">
        <f>0.5*rho*CdA*(Track_Profile!H45^2)</f>
        <v>176.08933999999999</v>
      </c>
      <c r="D38" s="5">
        <f t="shared" si="0"/>
        <v>22.2486876</v>
      </c>
      <c r="E38" s="5">
        <f>m * g *Track_Profile!G45</f>
        <v>0</v>
      </c>
      <c r="F38" s="5">
        <f t="shared" si="1"/>
        <v>198.3380276</v>
      </c>
      <c r="G38" s="5">
        <f t="shared" si="2"/>
        <v>198.3380276</v>
      </c>
      <c r="H38" s="5">
        <f>G38*Track_Profile!L45</f>
        <v>2482.6208920325121</v>
      </c>
      <c r="I38" s="5">
        <f>Track_Profile!M45</f>
        <v>8.9999776306370798</v>
      </c>
      <c r="J38" s="5">
        <f>(H38*Track_Profile!M45)/3600</f>
        <v>6.2065368037902449</v>
      </c>
    </row>
    <row r="39" spans="2:10">
      <c r="B39" s="48">
        <f>Track_Profile!C46</f>
        <v>34</v>
      </c>
      <c r="C39" s="5">
        <f>0.5*rho*CdA*(Track_Profile!H46^2)</f>
        <v>176.08933999999999</v>
      </c>
      <c r="D39" s="5">
        <f t="shared" si="0"/>
        <v>22.2486876</v>
      </c>
      <c r="E39" s="5">
        <f>m * g *Track_Profile!G46</f>
        <v>0</v>
      </c>
      <c r="F39" s="5">
        <f t="shared" si="1"/>
        <v>198.3380276</v>
      </c>
      <c r="G39" s="5">
        <f t="shared" si="2"/>
        <v>198.3380276</v>
      </c>
      <c r="H39" s="5">
        <f>G39*Track_Profile!L46</f>
        <v>2482.6208920325121</v>
      </c>
      <c r="I39" s="5">
        <f>Track_Profile!M46</f>
        <v>7.7142665405460669</v>
      </c>
      <c r="J39" s="5">
        <f>(H39*Track_Profile!M46)/3600</f>
        <v>5.3198886889630659</v>
      </c>
    </row>
    <row r="40" spans="2:10">
      <c r="B40" s="48">
        <f>Track_Profile!C47</f>
        <v>35</v>
      </c>
      <c r="C40" s="5">
        <f>0.5*rho*CdA*(Track_Profile!H47^2)</f>
        <v>291.08645999999999</v>
      </c>
      <c r="D40" s="5">
        <f t="shared" si="0"/>
        <v>22.2486876</v>
      </c>
      <c r="E40" s="5">
        <f>m * g *Track_Profile!G47</f>
        <v>0</v>
      </c>
      <c r="F40" s="5">
        <f t="shared" si="1"/>
        <v>313.33514759999997</v>
      </c>
      <c r="G40" s="5">
        <f t="shared" si="2"/>
        <v>313.33514759999997</v>
      </c>
      <c r="H40" s="5">
        <f>G40*Track_Profile!L47</f>
        <v>5042.6403977917435</v>
      </c>
      <c r="I40" s="5">
        <f>Track_Profile!M47</f>
        <v>6.9999826016066171</v>
      </c>
      <c r="J40" s="5">
        <f>(H40*Track_Profile!M47)/3600</f>
        <v>9.8051097363058002</v>
      </c>
    </row>
    <row r="41" spans="2:10">
      <c r="B41" s="48">
        <f>Track_Profile!C48</f>
        <v>36</v>
      </c>
      <c r="C41" s="5">
        <f>0.5*rho*CdA*(Track_Profile!H48^2)</f>
        <v>259.64193499999999</v>
      </c>
      <c r="D41" s="5">
        <f t="shared" si="0"/>
        <v>22.2486876</v>
      </c>
      <c r="E41" s="5">
        <f>m * g *Track_Profile!G48</f>
        <v>44.4973752</v>
      </c>
      <c r="F41" s="5">
        <f t="shared" si="1"/>
        <v>326.38799779999999</v>
      </c>
      <c r="G41" s="5">
        <f t="shared" si="2"/>
        <v>326.38799779999999</v>
      </c>
      <c r="H41" s="5">
        <f>G41*Track_Profile!L48</f>
        <v>4960.8886782414083</v>
      </c>
      <c r="I41" s="5">
        <f>Track_Profile!M48</f>
        <v>1.0588208977220093</v>
      </c>
      <c r="J41" s="5">
        <f>(H41*Track_Profile!M48)/3600</f>
        <v>1.459081278831811</v>
      </c>
    </row>
    <row r="42" spans="2:10">
      <c r="B42" s="48">
        <f>Track_Profile!C49</f>
        <v>37</v>
      </c>
      <c r="C42" s="5">
        <f>0.5*rho*CdA*(Track_Profile!H49^2)</f>
        <v>229.99423999999999</v>
      </c>
      <c r="D42" s="5">
        <f t="shared" si="0"/>
        <v>22.2486876</v>
      </c>
      <c r="E42" s="5">
        <f>m * g *Track_Profile!G49</f>
        <v>88.994750400000001</v>
      </c>
      <c r="F42" s="5">
        <f t="shared" si="1"/>
        <v>341.23767800000002</v>
      </c>
      <c r="G42" s="5">
        <f t="shared" si="2"/>
        <v>341.23767800000002</v>
      </c>
      <c r="H42" s="5">
        <f>G42*Track_Profile!L49</f>
        <v>4881.5005303398402</v>
      </c>
      <c r="I42" s="5">
        <f>Track_Profile!M49</f>
        <v>3.3749916114889045</v>
      </c>
      <c r="J42" s="5">
        <f>(H42*Track_Profile!M49)/3600</f>
        <v>4.5763953726043329</v>
      </c>
    </row>
    <row r="43" spans="2:10">
      <c r="B43" s="48">
        <f>Track_Profile!C50</f>
        <v>38</v>
      </c>
      <c r="C43" s="5">
        <f>0.5*rho*CdA*(Track_Profile!H50^2)</f>
        <v>151.83213499999999</v>
      </c>
      <c r="D43" s="5">
        <f t="shared" si="0"/>
        <v>22.2486876</v>
      </c>
      <c r="E43" s="5">
        <f>m * g *Track_Profile!G50</f>
        <v>0</v>
      </c>
      <c r="F43" s="5">
        <f t="shared" si="1"/>
        <v>174.0808226</v>
      </c>
      <c r="G43" s="5">
        <f t="shared" si="2"/>
        <v>174.0808226</v>
      </c>
      <c r="H43" s="5">
        <f>G43*Track_Profile!L50</f>
        <v>2023.348364312704</v>
      </c>
      <c r="I43" s="5">
        <f>Track_Profile!M50</f>
        <v>2.7692238863498706</v>
      </c>
      <c r="J43" s="5">
        <f>(H43*Track_Profile!M50)/3600</f>
        <v>1.5564179502393556</v>
      </c>
    </row>
    <row r="44" spans="2:10">
      <c r="B44" s="48">
        <f>Track_Profile!C51</f>
        <v>39</v>
      </c>
      <c r="C44" s="5">
        <f>0.5*rho*CdA*(Track_Profile!H51^2)</f>
        <v>229.99423999999999</v>
      </c>
      <c r="D44" s="5">
        <f t="shared" si="0"/>
        <v>22.2486876</v>
      </c>
      <c r="E44" s="5">
        <f>m * g *Track_Profile!G51</f>
        <v>44.4973752</v>
      </c>
      <c r="F44" s="5">
        <f t="shared" si="1"/>
        <v>296.74030279999999</v>
      </c>
      <c r="G44" s="5">
        <f t="shared" si="2"/>
        <v>296.74030279999999</v>
      </c>
      <c r="H44" s="5">
        <f>G44*Track_Profile!L51</f>
        <v>4244.9531188387837</v>
      </c>
      <c r="I44" s="5">
        <f>Track_Profile!M51</f>
        <v>1.124997203829635</v>
      </c>
      <c r="J44" s="5">
        <f>(H44*Track_Profile!M51)/3600</f>
        <v>1.3265445525226445</v>
      </c>
    </row>
    <row r="45" spans="2:10">
      <c r="B45" s="48">
        <f>Track_Profile!C52</f>
        <v>40</v>
      </c>
      <c r="C45" s="5">
        <f>0.5*rho*CdA*(Track_Profile!H52^2)</f>
        <v>176.08933999999999</v>
      </c>
      <c r="D45" s="5">
        <f t="shared" si="0"/>
        <v>22.2486876</v>
      </c>
      <c r="E45" s="5">
        <f>m * g *Track_Profile!G52</f>
        <v>177.9895008</v>
      </c>
      <c r="F45" s="5">
        <f t="shared" si="1"/>
        <v>376.32752840000001</v>
      </c>
      <c r="G45" s="5">
        <f t="shared" si="2"/>
        <v>376.32752840000001</v>
      </c>
      <c r="H45" s="5">
        <f>G45*Track_Profile!L52</f>
        <v>4710.5368322862078</v>
      </c>
      <c r="I45" s="5">
        <f>Track_Profile!M52</f>
        <v>1.2857110900910111</v>
      </c>
      <c r="J45" s="5">
        <f>(H45*Track_Profile!M52)/3600</f>
        <v>1.6823304015423775</v>
      </c>
    </row>
    <row r="46" spans="2:10">
      <c r="B46" s="48">
        <f>Track_Profile!C53</f>
        <v>41</v>
      </c>
      <c r="C46" s="5">
        <f>0.5*rho*CdA*(Track_Profile!H53^2)</f>
        <v>229.99423999999999</v>
      </c>
      <c r="D46" s="5">
        <f t="shared" si="0"/>
        <v>22.2486876</v>
      </c>
      <c r="E46" s="5">
        <f>m * g *Track_Profile!G53</f>
        <v>44.4973752</v>
      </c>
      <c r="F46" s="5">
        <f t="shared" si="1"/>
        <v>296.74030279999999</v>
      </c>
      <c r="G46" s="5">
        <f t="shared" si="2"/>
        <v>296.74030279999999</v>
      </c>
      <c r="H46" s="5">
        <f>G46*Track_Profile!L53</f>
        <v>4244.9531188387837</v>
      </c>
      <c r="I46" s="5">
        <f>Track_Profile!M53</f>
        <v>1.124997203829635</v>
      </c>
      <c r="J46" s="5">
        <f>(H46*Track_Profile!M53)/3600</f>
        <v>1.3265445525226445</v>
      </c>
    </row>
    <row r="47" spans="2:10">
      <c r="B47" s="48">
        <f>Track_Profile!C54</f>
        <v>42</v>
      </c>
      <c r="C47" s="5">
        <f>0.5*rho*CdA*(Track_Profile!H54^2)</f>
        <v>259.64193499999999</v>
      </c>
      <c r="D47" s="5">
        <f t="shared" si="0"/>
        <v>22.2486876</v>
      </c>
      <c r="E47" s="5">
        <f>m * g *Track_Profile!G54</f>
        <v>0</v>
      </c>
      <c r="F47" s="5">
        <f t="shared" si="1"/>
        <v>281.89062259999997</v>
      </c>
      <c r="G47" s="5">
        <f t="shared" si="2"/>
        <v>281.89062259999997</v>
      </c>
      <c r="H47" s="5">
        <f>G47*Track_Profile!L54</f>
        <v>4284.5570535215356</v>
      </c>
      <c r="I47" s="5">
        <f>Track_Profile!M54</f>
        <v>2.1176417954440185</v>
      </c>
      <c r="J47" s="5">
        <f>(H47*Track_Profile!M54)/3600</f>
        <v>2.5203214143060215</v>
      </c>
    </row>
    <row r="48" spans="2:10">
      <c r="B48" s="48">
        <f>Track_Profile!C55</f>
        <v>43</v>
      </c>
      <c r="C48" s="5">
        <f>0.5*rho*CdA*(Track_Profile!H55^2)</f>
        <v>324.32781499999999</v>
      </c>
      <c r="D48" s="5">
        <f t="shared" si="0"/>
        <v>22.2486876</v>
      </c>
      <c r="E48" s="5">
        <f>m * g *Track_Profile!G55</f>
        <v>0</v>
      </c>
      <c r="F48" s="5">
        <f t="shared" si="1"/>
        <v>346.57650259999997</v>
      </c>
      <c r="G48" s="5">
        <f t="shared" si="2"/>
        <v>346.57650259999997</v>
      </c>
      <c r="H48" s="5">
        <f>G48*Track_Profile!L55</f>
        <v>5887.4752694475519</v>
      </c>
      <c r="I48" s="5">
        <f>Track_Profile!M55</f>
        <v>8.5262945974456539</v>
      </c>
      <c r="J48" s="5">
        <f>(H48*Track_Profile!M55)/3600</f>
        <v>13.9439857173571</v>
      </c>
    </row>
    <row r="49" spans="2:10">
      <c r="B49" s="48">
        <f>Track_Profile!C56</f>
        <v>44</v>
      </c>
      <c r="C49" s="5">
        <f>0.5*rho*CdA*(Track_Profile!H56^2)</f>
        <v>324.32781499999999</v>
      </c>
      <c r="D49" s="5">
        <f t="shared" si="0"/>
        <v>22.2486876</v>
      </c>
      <c r="E49" s="5">
        <f>m * g *Track_Profile!G56</f>
        <v>-177.9895008</v>
      </c>
      <c r="F49" s="5">
        <f t="shared" si="1"/>
        <v>168.58700179999997</v>
      </c>
      <c r="G49" s="5">
        <f t="shared" si="2"/>
        <v>168.58700179999997</v>
      </c>
      <c r="H49" s="5">
        <f>G49*Track_Profile!L56</f>
        <v>2863.8750648175355</v>
      </c>
      <c r="I49" s="5">
        <f>Track_Profile!M56</f>
        <v>1.8947321327657007</v>
      </c>
      <c r="J49" s="5">
        <f>(H49*Track_Profile!M56)/3600</f>
        <v>1.5072989193156219</v>
      </c>
    </row>
    <row r="50" spans="2:10">
      <c r="B50" s="48">
        <f>Track_Profile!C57</f>
        <v>45</v>
      </c>
      <c r="C50" s="5">
        <f>0.5*rho*CdA*(Track_Profile!H57^2)</f>
        <v>324.32781499999999</v>
      </c>
      <c r="D50" s="5">
        <f t="shared" si="0"/>
        <v>22.2486876</v>
      </c>
      <c r="E50" s="5">
        <f>m * g *Track_Profile!G57</f>
        <v>0</v>
      </c>
      <c r="F50" s="5">
        <f t="shared" si="1"/>
        <v>346.57650259999997</v>
      </c>
      <c r="G50" s="5">
        <f t="shared" si="2"/>
        <v>346.57650259999997</v>
      </c>
      <c r="H50" s="5">
        <f>G50*Track_Profile!L57</f>
        <v>5887.4752694475519</v>
      </c>
      <c r="I50" s="5">
        <f>Track_Profile!M57</f>
        <v>17.052589194891308</v>
      </c>
      <c r="J50" s="5">
        <f>(H50*Track_Profile!M57)/3600</f>
        <v>27.887971434714199</v>
      </c>
    </row>
    <row r="51" spans="2:10">
      <c r="B51" s="48">
        <f>Track_Profile!C58</f>
        <v>46</v>
      </c>
      <c r="C51" s="5">
        <f>0.5*rho*CdA*(Track_Profile!H58^2)</f>
        <v>229.99423999999999</v>
      </c>
      <c r="D51" s="5">
        <f t="shared" si="0"/>
        <v>22.2486876</v>
      </c>
      <c r="E51" s="5">
        <f>m * g *Track_Profile!G58</f>
        <v>133.49212559999998</v>
      </c>
      <c r="F51" s="5">
        <f t="shared" si="1"/>
        <v>385.73505319999998</v>
      </c>
      <c r="G51" s="5">
        <f t="shared" si="2"/>
        <v>385.73505319999998</v>
      </c>
      <c r="H51" s="5">
        <f>G51*Track_Profile!L58</f>
        <v>5518.0479418408959</v>
      </c>
      <c r="I51" s="5">
        <f>Track_Profile!M58</f>
        <v>1.124997203829635</v>
      </c>
      <c r="J51" s="5">
        <f>(H51*Track_Profile!M58)/3600</f>
        <v>1.7243856958802444</v>
      </c>
    </row>
    <row r="52" spans="2:10">
      <c r="B52" s="48">
        <f>Track_Profile!C59</f>
        <v>47</v>
      </c>
      <c r="C52" s="5">
        <f>0.5*rho*CdA*(Track_Profile!H59^2)</f>
        <v>259.64193499999999</v>
      </c>
      <c r="D52" s="5">
        <f t="shared" si="0"/>
        <v>22.2486876</v>
      </c>
      <c r="E52" s="5">
        <f>m * g *Track_Profile!G59</f>
        <v>44.4973752</v>
      </c>
      <c r="F52" s="5">
        <f t="shared" si="1"/>
        <v>326.38799779999999</v>
      </c>
      <c r="G52" s="5">
        <f t="shared" si="2"/>
        <v>326.38799779999999</v>
      </c>
      <c r="H52" s="5">
        <f>G52*Track_Profile!L59</f>
        <v>4960.8886782414083</v>
      </c>
      <c r="I52" s="5">
        <f>Track_Profile!M59</f>
        <v>2.1176417954440185</v>
      </c>
      <c r="J52" s="5">
        <f>(H52*Track_Profile!M59)/3600</f>
        <v>2.9181625576636221</v>
      </c>
    </row>
    <row r="53" spans="2:10">
      <c r="B53" s="48">
        <f>Track_Profile!C60</f>
        <v>48</v>
      </c>
      <c r="C53" s="5">
        <f>0.5*rho*CdA*(Track_Profile!H60^2)</f>
        <v>291.08645999999999</v>
      </c>
      <c r="D53" s="5">
        <f t="shared" si="0"/>
        <v>22.2486876</v>
      </c>
      <c r="E53" s="5">
        <f>m * g *Track_Profile!G60</f>
        <v>0</v>
      </c>
      <c r="F53" s="5">
        <f t="shared" si="1"/>
        <v>313.33514759999997</v>
      </c>
      <c r="G53" s="5">
        <f t="shared" si="2"/>
        <v>313.33514759999997</v>
      </c>
      <c r="H53" s="5">
        <f>G53*Track_Profile!L60</f>
        <v>5042.6403977917435</v>
      </c>
      <c r="I53" s="5">
        <f>Track_Profile!M60</f>
        <v>0.99999751451523089</v>
      </c>
      <c r="J53" s="5">
        <f>(H53*Track_Profile!M60)/3600</f>
        <v>1.4007299623293996</v>
      </c>
    </row>
    <row r="54" spans="2:10">
      <c r="B54" s="48">
        <f>Track_Profile!C61</f>
        <v>49</v>
      </c>
      <c r="C54" s="5">
        <f>0.5*rho*CdA*(Track_Profile!H61^2)</f>
        <v>176.08933999999999</v>
      </c>
      <c r="D54" s="5">
        <f t="shared" si="0"/>
        <v>22.2486876</v>
      </c>
      <c r="E54" s="5">
        <f>m * g *Track_Profile!G61</f>
        <v>0</v>
      </c>
      <c r="F54" s="5">
        <f t="shared" si="1"/>
        <v>198.3380276</v>
      </c>
      <c r="G54" s="5">
        <f t="shared" si="2"/>
        <v>198.3380276</v>
      </c>
      <c r="H54" s="5">
        <f>G54*Track_Profile!L61</f>
        <v>2482.6208920325121</v>
      </c>
      <c r="I54" s="5">
        <f>Track_Profile!M61</f>
        <v>12.857110900910113</v>
      </c>
      <c r="J54" s="5">
        <f>(H54*Track_Profile!M61)/3600</f>
        <v>8.8664811482717774</v>
      </c>
    </row>
    <row r="55" spans="2:10">
      <c r="B55" s="48">
        <f>Track_Profile!C62</f>
        <v>50</v>
      </c>
      <c r="C55" s="5">
        <f>0.5*rho*CdA*(Track_Profile!H62^2)</f>
        <v>324.32781499999999</v>
      </c>
      <c r="D55" s="5">
        <f t="shared" si="0"/>
        <v>22.2486876</v>
      </c>
      <c r="E55" s="5">
        <f>m * g *Track_Profile!G62</f>
        <v>0</v>
      </c>
      <c r="F55" s="5">
        <f t="shared" si="1"/>
        <v>346.57650259999997</v>
      </c>
      <c r="G55" s="5">
        <f t="shared" si="2"/>
        <v>346.57650259999997</v>
      </c>
      <c r="H55" s="5">
        <f>G55*Track_Profile!L62</f>
        <v>5887.4752694475519</v>
      </c>
      <c r="I55" s="5">
        <f>Track_Profile!M62</f>
        <v>0.94736606638285037</v>
      </c>
      <c r="J55" s="5">
        <f>(H55*Track_Profile!M62)/3600</f>
        <v>1.5493317463730107</v>
      </c>
    </row>
    <row r="56" spans="2:10">
      <c r="B56" s="48">
        <f>Track_Profile!C63</f>
        <v>51</v>
      </c>
      <c r="C56" s="5">
        <f>0.5*rho*CdA*(Track_Profile!H63^2)</f>
        <v>291.08645999999999</v>
      </c>
      <c r="D56" s="5">
        <f t="shared" si="0"/>
        <v>22.2486876</v>
      </c>
      <c r="E56" s="5">
        <f>m * g *Track_Profile!G63</f>
        <v>44.4973752</v>
      </c>
      <c r="F56" s="5">
        <f t="shared" si="1"/>
        <v>357.83252279999999</v>
      </c>
      <c r="G56" s="5">
        <f t="shared" si="2"/>
        <v>357.83252279999999</v>
      </c>
      <c r="H56" s="5">
        <f>G56*Track_Profile!L63</f>
        <v>5758.7562357304323</v>
      </c>
      <c r="I56" s="5">
        <f>Track_Profile!M63</f>
        <v>0.99999751451523089</v>
      </c>
      <c r="J56" s="5">
        <f>(H56*Track_Profile!M63)/3600</f>
        <v>1.5996505340081997</v>
      </c>
    </row>
    <row r="57" spans="2:10">
      <c r="B57" s="48">
        <f>Track_Profile!C64</f>
        <v>52</v>
      </c>
      <c r="C57" s="5">
        <f>0.5*rho*CdA*(Track_Profile!H64^2)</f>
        <v>259.64193499999999</v>
      </c>
      <c r="D57" s="5">
        <f t="shared" si="0"/>
        <v>22.2486876</v>
      </c>
      <c r="E57" s="5">
        <f>m * g *Track_Profile!G64</f>
        <v>88.994750400000001</v>
      </c>
      <c r="F57" s="5">
        <f t="shared" si="1"/>
        <v>370.88537299999996</v>
      </c>
      <c r="G57" s="5">
        <f t="shared" si="2"/>
        <v>370.88537299999996</v>
      </c>
      <c r="H57" s="5">
        <f>G57*Track_Profile!L64</f>
        <v>5637.2203029612792</v>
      </c>
      <c r="I57" s="5">
        <f>Track_Profile!M64</f>
        <v>3.1764626931660276</v>
      </c>
      <c r="J57" s="5">
        <f>(H57*Track_Profile!M64)/3600</f>
        <v>4.9740055515318327</v>
      </c>
    </row>
    <row r="58" spans="2:10">
      <c r="B58" s="48">
        <f>Track_Profile!C65</f>
        <v>53</v>
      </c>
      <c r="C58" s="5">
        <f>0.5*rho*CdA*(Track_Profile!H65^2)</f>
        <v>291.08645999999999</v>
      </c>
      <c r="D58" s="5">
        <f t="shared" si="0"/>
        <v>22.2486876</v>
      </c>
      <c r="E58" s="5">
        <f>m * g *Track_Profile!G65</f>
        <v>0</v>
      </c>
      <c r="F58" s="5">
        <f t="shared" si="1"/>
        <v>313.33514759999997</v>
      </c>
      <c r="G58" s="5">
        <f t="shared" si="2"/>
        <v>313.33514759999997</v>
      </c>
      <c r="H58" s="5">
        <f>G58*Track_Profile!L65</f>
        <v>5042.6403977917435</v>
      </c>
      <c r="I58" s="5">
        <f>Track_Profile!M65</f>
        <v>0.99999751451523089</v>
      </c>
      <c r="J58" s="5">
        <f>(H58*Track_Profile!M65)/3600</f>
        <v>1.4007299623293996</v>
      </c>
    </row>
    <row r="59" spans="2:10">
      <c r="B59" s="48">
        <f>Track_Profile!C66</f>
        <v>54</v>
      </c>
      <c r="C59" s="5">
        <f>0.5*rho*CdA*(Track_Profile!H66^2)</f>
        <v>324.32781499999999</v>
      </c>
      <c r="D59" s="5">
        <f t="shared" si="0"/>
        <v>22.2486876</v>
      </c>
      <c r="E59" s="5">
        <f>m * g *Track_Profile!G66</f>
        <v>-133.49212559999998</v>
      </c>
      <c r="F59" s="5">
        <f t="shared" si="1"/>
        <v>213.08437699999999</v>
      </c>
      <c r="G59" s="5">
        <f t="shared" si="2"/>
        <v>213.08437699999999</v>
      </c>
      <c r="H59" s="5">
        <f>G59*Track_Profile!L66</f>
        <v>3619.7751159750396</v>
      </c>
      <c r="I59" s="5">
        <f>Track_Profile!M66</f>
        <v>1.8947321327657007</v>
      </c>
      <c r="J59" s="5">
        <f>(H59*Track_Profile!M66)/3600</f>
        <v>1.9051400626732218</v>
      </c>
    </row>
    <row r="60" spans="2:10">
      <c r="B60" s="48">
        <f>Track_Profile!C67</f>
        <v>55</v>
      </c>
      <c r="C60" s="5">
        <f>0.5*rho*CdA*(Track_Profile!H67^2)</f>
        <v>324.32781499999999</v>
      </c>
      <c r="D60" s="5">
        <f t="shared" si="0"/>
        <v>22.2486876</v>
      </c>
      <c r="E60" s="5">
        <f>m * g *Track_Profile!G67</f>
        <v>-88.994750400000001</v>
      </c>
      <c r="F60" s="5">
        <f t="shared" si="1"/>
        <v>257.58175219999998</v>
      </c>
      <c r="G60" s="5">
        <f t="shared" si="2"/>
        <v>257.58175219999998</v>
      </c>
      <c r="H60" s="5">
        <f>G60*Track_Profile!L67</f>
        <v>4375.6751671325437</v>
      </c>
      <c r="I60" s="5">
        <f>Track_Profile!M67</f>
        <v>0.94736606638285037</v>
      </c>
      <c r="J60" s="5">
        <f>(H60*Track_Profile!M67)/3600</f>
        <v>1.1514906030154108</v>
      </c>
    </row>
    <row r="61" spans="2:10">
      <c r="B61" s="48">
        <f>Track_Profile!C68</f>
        <v>56</v>
      </c>
      <c r="C61" s="5">
        <f>0.5*rho*CdA*(Track_Profile!H68^2)</f>
        <v>259.64193499999999</v>
      </c>
      <c r="D61" s="5">
        <f t="shared" si="0"/>
        <v>22.2486876</v>
      </c>
      <c r="E61" s="5">
        <f>m * g *Track_Profile!G68</f>
        <v>0</v>
      </c>
      <c r="F61" s="5">
        <f t="shared" si="1"/>
        <v>281.89062259999997</v>
      </c>
      <c r="G61" s="5">
        <f t="shared" si="2"/>
        <v>281.89062259999997</v>
      </c>
      <c r="H61" s="5">
        <f>G61*Track_Profile!L68</f>
        <v>4284.5570535215356</v>
      </c>
      <c r="I61" s="5">
        <f>Track_Profile!M68</f>
        <v>1.0588208977220093</v>
      </c>
      <c r="J61" s="5">
        <f>(H61*Track_Profile!M68)/3600</f>
        <v>1.2601607071530108</v>
      </c>
    </row>
    <row r="62" spans="2:10">
      <c r="B62" s="48">
        <f>Track_Profile!C69</f>
        <v>57</v>
      </c>
      <c r="C62" s="5">
        <f>0.5*rho*CdA*(Track_Profile!H69^2)</f>
        <v>275.13959375000002</v>
      </c>
      <c r="D62" s="5">
        <f t="shared" si="0"/>
        <v>22.2486876</v>
      </c>
      <c r="E62" s="5">
        <f>m * g *Track_Profile!G69</f>
        <v>88.994750400000001</v>
      </c>
      <c r="F62" s="5">
        <f t="shared" si="1"/>
        <v>386.38303174999999</v>
      </c>
      <c r="G62" s="5">
        <f t="shared" si="2"/>
        <v>386.38303174999999</v>
      </c>
      <c r="H62" s="5">
        <f>G62*Track_Profile!L69</f>
        <v>6045.5034679731998</v>
      </c>
      <c r="I62" s="5">
        <f>Track_Profile!M69</f>
        <v>1.028568872072809</v>
      </c>
      <c r="J62" s="5">
        <f>(H62*Track_Profile!M69)/3600</f>
        <v>1.7272824119904027</v>
      </c>
    </row>
    <row r="63" spans="2:10">
      <c r="B63" s="48">
        <f>Track_Profile!C70</f>
        <v>58</v>
      </c>
      <c r="C63" s="5">
        <f>0.5*rho*CdA*(Track_Profile!H70^2)</f>
        <v>259.64193499999999</v>
      </c>
      <c r="D63" s="5">
        <f t="shared" si="0"/>
        <v>22.2486876</v>
      </c>
      <c r="E63" s="5">
        <f>m * g *Track_Profile!G70</f>
        <v>0</v>
      </c>
      <c r="F63" s="5">
        <f t="shared" si="1"/>
        <v>281.89062259999997</v>
      </c>
      <c r="G63" s="5">
        <f t="shared" si="2"/>
        <v>281.89062259999997</v>
      </c>
      <c r="H63" s="5">
        <f>G63*Track_Profile!L70</f>
        <v>4284.5570535215356</v>
      </c>
      <c r="I63" s="5">
        <f>Track_Profile!M70</f>
        <v>8.4705671817760742</v>
      </c>
      <c r="J63" s="5">
        <f>(H63*Track_Profile!M70)/3600</f>
        <v>10.081285657224086</v>
      </c>
    </row>
    <row r="64" spans="2:10">
      <c r="B64" s="48">
        <f>Track_Profile!C71</f>
        <v>59</v>
      </c>
      <c r="C64" s="5">
        <f>0.5*rho*CdA*(Track_Profile!H71^2)</f>
        <v>229.99423999999999</v>
      </c>
      <c r="D64" s="5">
        <f t="shared" si="0"/>
        <v>22.2486876</v>
      </c>
      <c r="E64" s="5">
        <f>m * g *Track_Profile!G71</f>
        <v>88.994750400000001</v>
      </c>
      <c r="F64" s="5">
        <f t="shared" si="1"/>
        <v>341.23767800000002</v>
      </c>
      <c r="G64" s="5">
        <f t="shared" si="2"/>
        <v>341.23767800000002</v>
      </c>
      <c r="H64" s="5">
        <f>G64*Track_Profile!L71</f>
        <v>4881.5005303398402</v>
      </c>
      <c r="I64" s="5">
        <f>Track_Profile!M71</f>
        <v>1.124997203829635</v>
      </c>
      <c r="J64" s="5">
        <f>(H64*Track_Profile!M71)/3600</f>
        <v>1.5254651242014445</v>
      </c>
    </row>
    <row r="65" spans="2:10">
      <c r="B65" s="48">
        <f>Track_Profile!C72</f>
        <v>60</v>
      </c>
      <c r="C65" s="5">
        <f>0.5*rho*CdA*(Track_Profile!H72^2)</f>
        <v>215.84420374999999</v>
      </c>
      <c r="D65" s="5">
        <f t="shared" si="0"/>
        <v>22.2486876</v>
      </c>
      <c r="E65" s="5">
        <f>m * g *Track_Profile!G72</f>
        <v>-44.4973752</v>
      </c>
      <c r="F65" s="5">
        <f t="shared" si="1"/>
        <v>193.59551615000001</v>
      </c>
      <c r="G65" s="5">
        <f t="shared" si="2"/>
        <v>193.59551615000001</v>
      </c>
      <c r="H65" s="5">
        <f>G65*Track_Profile!L72</f>
        <v>2682.8931257305762</v>
      </c>
      <c r="I65" s="5">
        <f>Track_Profile!M72</f>
        <v>1.161287436211236</v>
      </c>
      <c r="J65" s="5">
        <f>(H65*Track_Profile!M72)/3600</f>
        <v>0.86544724433566944</v>
      </c>
    </row>
    <row r="66" spans="2:10">
      <c r="B66" s="48">
        <f>Track_Profile!C73</f>
        <v>61</v>
      </c>
      <c r="C66" s="5">
        <f>0.5*rho*CdA*(Track_Profile!H73^2)</f>
        <v>229.99423999999999</v>
      </c>
      <c r="D66" s="5">
        <f t="shared" si="0"/>
        <v>22.2486876</v>
      </c>
      <c r="E66" s="5">
        <f>m * g *Track_Profile!G73</f>
        <v>0</v>
      </c>
      <c r="F66" s="5">
        <f t="shared" si="1"/>
        <v>252.2429276</v>
      </c>
      <c r="G66" s="5">
        <f t="shared" si="2"/>
        <v>252.2429276</v>
      </c>
      <c r="H66" s="5">
        <f>G66*Track_Profile!L73</f>
        <v>3608.405707337728</v>
      </c>
      <c r="I66" s="5">
        <f>Track_Profile!M73</f>
        <v>16.874958057444523</v>
      </c>
      <c r="J66" s="5">
        <f>(H66*Track_Profile!M73)/3600</f>
        <v>16.914359712657667</v>
      </c>
    </row>
    <row r="67" spans="2:10">
      <c r="B67" s="48">
        <f>Track_Profile!C74</f>
        <v>62</v>
      </c>
      <c r="C67" s="5">
        <f>0.5*rho*CdA*(Track_Profile!H74^2)</f>
        <v>244.59348374999999</v>
      </c>
      <c r="D67" s="5">
        <f t="shared" si="0"/>
        <v>22.2486876</v>
      </c>
      <c r="E67" s="5">
        <f>m * g *Track_Profile!G74</f>
        <v>44.4973752</v>
      </c>
      <c r="F67" s="5">
        <f t="shared" si="1"/>
        <v>311.33954655000002</v>
      </c>
      <c r="G67" s="5">
        <f t="shared" si="2"/>
        <v>311.33954655000002</v>
      </c>
      <c r="H67" s="5">
        <f>G67*Track_Profile!L74</f>
        <v>4592.9806193604963</v>
      </c>
      <c r="I67" s="5">
        <f>Track_Profile!M74</f>
        <v>1.0909063794711611</v>
      </c>
      <c r="J67" s="5">
        <f>(H67*Track_Profile!M74)/3600</f>
        <v>1.3918088495688252</v>
      </c>
    </row>
    <row r="68" spans="2:10">
      <c r="B68" s="48">
        <f>Track_Profile!C75</f>
        <v>63</v>
      </c>
      <c r="C68" s="5">
        <f>0.5*rho*CdA*(Track_Profile!H75^2)</f>
        <v>259.64193499999999</v>
      </c>
      <c r="D68" s="5">
        <f t="shared" si="0"/>
        <v>22.2486876</v>
      </c>
      <c r="E68" s="5">
        <f>m * g *Track_Profile!G75</f>
        <v>177.9895008</v>
      </c>
      <c r="F68" s="5">
        <f t="shared" si="1"/>
        <v>459.8801234</v>
      </c>
      <c r="G68" s="5">
        <f t="shared" si="2"/>
        <v>459.8801234</v>
      </c>
      <c r="H68" s="5">
        <f>G68*Track_Profile!L75</f>
        <v>6989.8835524010246</v>
      </c>
      <c r="I68" s="5">
        <f>Track_Profile!M75</f>
        <v>1.0588208977220093</v>
      </c>
      <c r="J68" s="5">
        <f>(H68*Track_Profile!M75)/3600</f>
        <v>2.055842993868211</v>
      </c>
    </row>
    <row r="69" spans="2:10">
      <c r="B69" s="48">
        <f>Track_Profile!C76</f>
        <v>64</v>
      </c>
      <c r="C69" s="5">
        <f>0.5*rho*CdA*(Track_Profile!H76^2)</f>
        <v>275.13959375000002</v>
      </c>
      <c r="D69" s="5">
        <f t="shared" si="0"/>
        <v>22.2486876</v>
      </c>
      <c r="E69" s="5">
        <f>m * g *Track_Profile!G76</f>
        <v>0</v>
      </c>
      <c r="F69" s="5">
        <f t="shared" si="1"/>
        <v>297.38828135</v>
      </c>
      <c r="G69" s="5">
        <f t="shared" si="2"/>
        <v>297.38828135</v>
      </c>
      <c r="H69" s="5">
        <f>G69*Track_Profile!L76</f>
        <v>4653.0560053146401</v>
      </c>
      <c r="I69" s="5">
        <f>Track_Profile!M76</f>
        <v>2.057137744145618</v>
      </c>
      <c r="J69" s="5">
        <f>(H69*Track_Profile!M76)/3600</f>
        <v>2.6588825372656051</v>
      </c>
    </row>
    <row r="70" spans="2:10">
      <c r="B70" s="48">
        <f>Track_Profile!C77</f>
        <v>65</v>
      </c>
      <c r="C70" s="5">
        <f>0.5*rho*CdA*(Track_Profile!H77^2)</f>
        <v>259.64193499999999</v>
      </c>
      <c r="D70" s="5">
        <f t="shared" ref="D70:D85" si="3">Crr*m*g</f>
        <v>22.2486876</v>
      </c>
      <c r="E70" s="5">
        <f>m * g *Track_Profile!G77</f>
        <v>-133.49212559999998</v>
      </c>
      <c r="F70" s="5">
        <f t="shared" si="1"/>
        <v>148.39849699999999</v>
      </c>
      <c r="G70" s="5">
        <f t="shared" si="2"/>
        <v>148.39849699999999</v>
      </c>
      <c r="H70" s="5">
        <f>G70*Track_Profile!L77</f>
        <v>2255.5621793619198</v>
      </c>
      <c r="I70" s="5">
        <f>Track_Profile!M77</f>
        <v>3.1764626931660276</v>
      </c>
      <c r="J70" s="5">
        <f>(H70*Track_Profile!M77)/3600</f>
        <v>1.9901969763498328</v>
      </c>
    </row>
    <row r="71" spans="2:10">
      <c r="B71" s="48">
        <f>Track_Profile!C78</f>
        <v>66</v>
      </c>
      <c r="C71" s="5">
        <f>0.5*rho*CdA*(Track_Profile!H78^2)</f>
        <v>229.99423999999999</v>
      </c>
      <c r="D71" s="5">
        <f t="shared" si="3"/>
        <v>22.2486876</v>
      </c>
      <c r="E71" s="5">
        <f>m * g *Track_Profile!G78</f>
        <v>0</v>
      </c>
      <c r="F71" s="5">
        <f t="shared" ref="F71:F85" si="4">SUM(C71:E71)</f>
        <v>252.2429276</v>
      </c>
      <c r="G71" s="5">
        <f t="shared" ref="G71:G85" si="5">MAX(0,F71)</f>
        <v>252.2429276</v>
      </c>
      <c r="H71" s="5">
        <f>G71*Track_Profile!L78</f>
        <v>3608.405707337728</v>
      </c>
      <c r="I71" s="5">
        <f>Track_Profile!M78</f>
        <v>16.874958057444523</v>
      </c>
      <c r="J71" s="5">
        <f>(H71*Track_Profile!M78)/3600</f>
        <v>16.914359712657667</v>
      </c>
    </row>
    <row r="72" spans="2:10">
      <c r="B72" s="48">
        <f>Track_Profile!C79</f>
        <v>67</v>
      </c>
      <c r="C72" s="5">
        <f>0.5*rho*CdA*(Track_Profile!H79^2)</f>
        <v>215.84420374999999</v>
      </c>
      <c r="D72" s="5">
        <f t="shared" si="3"/>
        <v>22.2486876</v>
      </c>
      <c r="E72" s="5">
        <f>m * g *Track_Profile!G79</f>
        <v>-133.49212559999998</v>
      </c>
      <c r="F72" s="5">
        <f t="shared" si="4"/>
        <v>104.60076575000002</v>
      </c>
      <c r="G72" s="5">
        <f t="shared" si="5"/>
        <v>104.60076575000002</v>
      </c>
      <c r="H72" s="5">
        <f>G72*Track_Profile!L79</f>
        <v>1449.5825159472804</v>
      </c>
      <c r="I72" s="5">
        <f>Track_Profile!M79</f>
        <v>1.161287436211236</v>
      </c>
      <c r="J72" s="5">
        <f>(H72*Track_Profile!M79)/3600</f>
        <v>0.46760610097806948</v>
      </c>
    </row>
    <row r="73" spans="2:10">
      <c r="B73" s="48">
        <f>Track_Profile!C80</f>
        <v>68</v>
      </c>
      <c r="C73" s="5">
        <f>0.5*rho*CdA*(Track_Profile!H80^2)</f>
        <v>202.14337499999999</v>
      </c>
      <c r="D73" s="5">
        <f t="shared" si="3"/>
        <v>22.2486876</v>
      </c>
      <c r="E73" s="5">
        <f>m * g *Track_Profile!G80</f>
        <v>-44.4973752</v>
      </c>
      <c r="F73" s="5">
        <f t="shared" si="4"/>
        <v>179.89468740000001</v>
      </c>
      <c r="G73" s="5">
        <f t="shared" si="5"/>
        <v>179.89468740000001</v>
      </c>
      <c r="H73" s="5">
        <f>G73*Track_Profile!L80</f>
        <v>2412.6036316588797</v>
      </c>
      <c r="I73" s="5">
        <f>Track_Profile!M80</f>
        <v>2.3999940348365545</v>
      </c>
      <c r="J73" s="5">
        <f>(H73*Track_Profile!M80)/3600</f>
        <v>1.6083984234461999</v>
      </c>
    </row>
    <row r="74" spans="2:10">
      <c r="B74" s="48">
        <f>Track_Profile!C81</f>
        <v>69</v>
      </c>
      <c r="C74" s="5">
        <f>0.5*rho*CdA*(Track_Profile!H81^2)</f>
        <v>176.08933999999999</v>
      </c>
      <c r="D74" s="5">
        <f t="shared" si="3"/>
        <v>22.2486876</v>
      </c>
      <c r="E74" s="5">
        <f>m * g *Track_Profile!G81</f>
        <v>44.4973752</v>
      </c>
      <c r="F74" s="5">
        <f t="shared" si="4"/>
        <v>242.8354028</v>
      </c>
      <c r="G74" s="5">
        <f t="shared" si="5"/>
        <v>242.8354028</v>
      </c>
      <c r="H74" s="5">
        <f>G74*Track_Profile!L81</f>
        <v>3039.5998770959359</v>
      </c>
      <c r="I74" s="5">
        <f>Track_Profile!M81</f>
        <v>1.2857110900910111</v>
      </c>
      <c r="J74" s="5">
        <f>(H74*Track_Profile!M81)/3600</f>
        <v>1.0855686865059775</v>
      </c>
    </row>
    <row r="75" spans="2:10">
      <c r="B75" s="48">
        <f>Track_Profile!C82</f>
        <v>70</v>
      </c>
      <c r="C75" s="5">
        <f>0.5*rho*CdA*(Track_Profile!H82^2)</f>
        <v>151.83213499999999</v>
      </c>
      <c r="D75" s="5">
        <f t="shared" si="3"/>
        <v>22.2486876</v>
      </c>
      <c r="E75" s="5">
        <f>m * g *Track_Profile!G82</f>
        <v>88.994750400000001</v>
      </c>
      <c r="F75" s="5">
        <f t="shared" si="4"/>
        <v>263.07557300000002</v>
      </c>
      <c r="G75" s="5">
        <f t="shared" si="5"/>
        <v>263.07557300000002</v>
      </c>
      <c r="H75" s="5">
        <f>G75*Track_Profile!L82</f>
        <v>3057.73790800192</v>
      </c>
      <c r="I75" s="5">
        <f>Track_Profile!M82</f>
        <v>5.5384477726997412</v>
      </c>
      <c r="J75" s="5">
        <f>(H75*Track_Profile!M82)/3600</f>
        <v>4.7042004739091112</v>
      </c>
    </row>
    <row r="76" spans="2:10">
      <c r="B76" s="48">
        <f>Track_Profile!C83</f>
        <v>71</v>
      </c>
      <c r="C76" s="5">
        <f>0.5*rho*CdA*(Track_Profile!H83^2)</f>
        <v>140.37734374999999</v>
      </c>
      <c r="D76" s="5">
        <f t="shared" si="3"/>
        <v>22.2486876</v>
      </c>
      <c r="E76" s="5">
        <f>m * g *Track_Profile!G83</f>
        <v>-88.994750400000001</v>
      </c>
      <c r="F76" s="5">
        <f t="shared" si="4"/>
        <v>73.631280950000004</v>
      </c>
      <c r="G76" s="5">
        <f t="shared" si="5"/>
        <v>73.631280950000004</v>
      </c>
      <c r="H76" s="5">
        <f>G76*Track_Profile!L83</f>
        <v>822.90319589720002</v>
      </c>
      <c r="I76" s="5">
        <f>Track_Profile!M83</f>
        <v>1.4399964209019327</v>
      </c>
      <c r="J76" s="5">
        <f>(H76*Track_Profile!M83)/3600</f>
        <v>0.32916046023353612</v>
      </c>
    </row>
    <row r="77" spans="2:10">
      <c r="B77" s="48">
        <f>Track_Profile!C84</f>
        <v>72</v>
      </c>
      <c r="C77" s="5">
        <f>0.5*rho*CdA*(Track_Profile!H84^2)</f>
        <v>108.708215</v>
      </c>
      <c r="D77" s="5">
        <f t="shared" si="3"/>
        <v>22.2486876</v>
      </c>
      <c r="E77" s="5">
        <f>m * g *Track_Profile!G84</f>
        <v>-44.4973752</v>
      </c>
      <c r="F77" s="5">
        <f t="shared" si="4"/>
        <v>86.459527400000013</v>
      </c>
      <c r="G77" s="5">
        <f t="shared" si="5"/>
        <v>86.459527400000013</v>
      </c>
      <c r="H77" s="5">
        <f>G77*Track_Profile!L84</f>
        <v>850.31907683571217</v>
      </c>
      <c r="I77" s="5">
        <f>Track_Profile!M84</f>
        <v>3.2727191384134833</v>
      </c>
      <c r="J77" s="5">
        <f>(H77*Track_Profile!M84)/3600</f>
        <v>0.77301542125508893</v>
      </c>
    </row>
    <row r="78" spans="2:10">
      <c r="B78" s="48">
        <f>Track_Profile!C85</f>
        <v>73</v>
      </c>
      <c r="C78" s="5">
        <f>0.5*rho*CdA*(Track_Profile!H85^2)</f>
        <v>99.050253749999996</v>
      </c>
      <c r="D78" s="5">
        <f t="shared" si="3"/>
        <v>22.2486876</v>
      </c>
      <c r="E78" s="5">
        <f>m * g *Track_Profile!G85</f>
        <v>133.49212559999998</v>
      </c>
      <c r="F78" s="5">
        <f t="shared" si="4"/>
        <v>254.79106694999996</v>
      </c>
      <c r="G78" s="5">
        <f t="shared" si="5"/>
        <v>254.79106694999996</v>
      </c>
      <c r="H78" s="5">
        <f>G78*Track_Profile!L85</f>
        <v>2391.9377699558877</v>
      </c>
      <c r="I78" s="5">
        <f>Track_Profile!M85</f>
        <v>1.7142814534546815</v>
      </c>
      <c r="J78" s="5">
        <f>(H78*Track_Profile!M85)/3600</f>
        <v>1.1390151546814247</v>
      </c>
    </row>
    <row r="79" spans="2:10">
      <c r="B79" s="48">
        <f>Track_Profile!C86</f>
        <v>74</v>
      </c>
      <c r="C79" s="5">
        <f>0.5*rho*CdA*(Track_Profile!H86^2)</f>
        <v>89.841499999999996</v>
      </c>
      <c r="D79" s="5">
        <f t="shared" si="3"/>
        <v>22.2486876</v>
      </c>
      <c r="E79" s="5">
        <f>m * g *Track_Profile!G86</f>
        <v>44.4973752</v>
      </c>
      <c r="F79" s="5">
        <f t="shared" si="4"/>
        <v>156.5875628</v>
      </c>
      <c r="G79" s="5">
        <f t="shared" si="5"/>
        <v>156.5875628</v>
      </c>
      <c r="H79" s="5">
        <f>G79*Track_Profile!L86</f>
        <v>1400.0180814822399</v>
      </c>
      <c r="I79" s="5">
        <f>Track_Profile!M86</f>
        <v>1.7999955261274159</v>
      </c>
      <c r="J79" s="5">
        <f>(H79*Track_Profile!M86)/3600</f>
        <v>0.70000730087931107</v>
      </c>
    </row>
    <row r="80" spans="2:10">
      <c r="B80" s="48">
        <f>Track_Profile!C87</f>
        <v>75</v>
      </c>
      <c r="C80" s="5">
        <f>0.5*rho*CdA*(Track_Profile!H87^2)</f>
        <v>81.081953749999997</v>
      </c>
      <c r="D80" s="5">
        <f t="shared" si="3"/>
        <v>22.2486876</v>
      </c>
      <c r="E80" s="5">
        <f>m * g *Track_Profile!G87</f>
        <v>-44.4973752</v>
      </c>
      <c r="F80" s="5">
        <f t="shared" si="4"/>
        <v>58.833266149999993</v>
      </c>
      <c r="G80" s="5">
        <f t="shared" si="5"/>
        <v>58.833266149999993</v>
      </c>
      <c r="H80" s="5">
        <f>G80*Track_Profile!L87</f>
        <v>499.71564269422396</v>
      </c>
      <c r="I80" s="5">
        <f>Track_Profile!M87</f>
        <v>5.684196398297102</v>
      </c>
      <c r="J80" s="5">
        <f>(H80*Track_Profile!M87)/3600</f>
        <v>0.78902273788200816</v>
      </c>
    </row>
    <row r="81" spans="2:10">
      <c r="B81" s="48">
        <f>Track_Profile!C88</f>
        <v>76</v>
      </c>
      <c r="C81" s="5">
        <f>0.5*rho*CdA*(Track_Profile!H88^2)</f>
        <v>89.841499999999996</v>
      </c>
      <c r="D81" s="5">
        <f t="shared" si="3"/>
        <v>22.2486876</v>
      </c>
      <c r="E81" s="5">
        <f>m * g *Track_Profile!G88</f>
        <v>0</v>
      </c>
      <c r="F81" s="5">
        <f t="shared" si="4"/>
        <v>112.09018759999999</v>
      </c>
      <c r="G81" s="5">
        <f t="shared" si="5"/>
        <v>112.09018759999999</v>
      </c>
      <c r="H81" s="5">
        <f>G81*Track_Profile!L88</f>
        <v>1002.1759492940798</v>
      </c>
      <c r="I81" s="5">
        <f>Track_Profile!M88</f>
        <v>1.7999955261274159</v>
      </c>
      <c r="J81" s="5">
        <f>(H81*Track_Profile!M88)/3600</f>
        <v>0.50108672920051101</v>
      </c>
    </row>
    <row r="82" spans="2:10">
      <c r="B82" s="48">
        <f>Track_Profile!C89</f>
        <v>77</v>
      </c>
      <c r="C82" s="5">
        <f>0.5*rho*CdA*(Track_Profile!H89^2)</f>
        <v>108.708215</v>
      </c>
      <c r="D82" s="5">
        <f t="shared" si="3"/>
        <v>22.2486876</v>
      </c>
      <c r="E82" s="5">
        <f>m * g *Track_Profile!G89</f>
        <v>88.994750400000001</v>
      </c>
      <c r="F82" s="5">
        <f t="shared" si="4"/>
        <v>219.95165300000002</v>
      </c>
      <c r="G82" s="5">
        <f t="shared" si="5"/>
        <v>219.95165300000002</v>
      </c>
      <c r="H82" s="5">
        <f>G82*Track_Profile!L89</f>
        <v>2163.1981130566401</v>
      </c>
      <c r="I82" s="5">
        <f>Track_Profile!M89</f>
        <v>1.6363595692067416</v>
      </c>
      <c r="J82" s="5">
        <f>(H82*Track_Profile!M89)/3600</f>
        <v>0.98326942566394437</v>
      </c>
    </row>
    <row r="83" spans="2:10">
      <c r="B83" s="48">
        <f>Track_Profile!C90</f>
        <v>78</v>
      </c>
      <c r="C83" s="5">
        <f>0.5*rho*CdA*(Track_Profile!H90^2)</f>
        <v>118.81538375</v>
      </c>
      <c r="D83" s="5">
        <f t="shared" si="3"/>
        <v>22.2486876</v>
      </c>
      <c r="E83" s="5">
        <f>m * g *Track_Profile!G90</f>
        <v>0</v>
      </c>
      <c r="F83" s="5">
        <f t="shared" si="4"/>
        <v>141.06407135000001</v>
      </c>
      <c r="G83" s="5">
        <f t="shared" si="5"/>
        <v>141.06407135000001</v>
      </c>
      <c r="H83" s="5">
        <f>G83*Track_Profile!L90</f>
        <v>1450.409496494992</v>
      </c>
      <c r="I83" s="5">
        <f>Track_Profile!M90</f>
        <v>1.5652135009803616</v>
      </c>
      <c r="J83" s="5">
        <f>(H83*Track_Profile!M90)/3600</f>
        <v>0.63061125718446953</v>
      </c>
    </row>
    <row r="84" spans="2:10">
      <c r="B84" s="48">
        <f>Track_Profile!C91</f>
        <v>79</v>
      </c>
      <c r="C84" s="5">
        <f>0.5*rho*CdA*(Track_Profile!H91^2)</f>
        <v>129.37175999999999</v>
      </c>
      <c r="D84" s="5">
        <f t="shared" si="3"/>
        <v>22.2486876</v>
      </c>
      <c r="E84" s="5">
        <f>m * g *Track_Profile!G91</f>
        <v>-88.994750400000001</v>
      </c>
      <c r="F84" s="5">
        <f t="shared" si="4"/>
        <v>62.625697200000005</v>
      </c>
      <c r="G84" s="5">
        <f t="shared" si="5"/>
        <v>62.625697200000005</v>
      </c>
      <c r="H84" s="5">
        <f>G84*Track_Profile!L91</f>
        <v>671.90860023091204</v>
      </c>
      <c r="I84" s="5">
        <f>Track_Profile!M91</f>
        <v>1.4999962717728463</v>
      </c>
      <c r="J84" s="5">
        <f>(H84*Track_Profile!M91)/3600</f>
        <v>0.27996122092179998</v>
      </c>
    </row>
    <row r="85" spans="2:10">
      <c r="B85" s="48">
        <f>Track_Profile!C92</f>
        <v>80</v>
      </c>
      <c r="C85" s="5">
        <f>0.5*rho*CdA*(Track_Profile!H92^2)</f>
        <v>118.81538375</v>
      </c>
      <c r="D85" s="5">
        <f t="shared" si="3"/>
        <v>22.2486876</v>
      </c>
      <c r="E85" s="5">
        <f>m * g *Track_Profile!G92</f>
        <v>0</v>
      </c>
      <c r="F85" s="5">
        <f t="shared" si="4"/>
        <v>141.06407135000001</v>
      </c>
      <c r="G85" s="5">
        <f t="shared" si="5"/>
        <v>141.06407135000001</v>
      </c>
      <c r="H85" s="5">
        <f>G85*Track_Profile!L92</f>
        <v>1450.409496494992</v>
      </c>
      <c r="I85" s="5">
        <f>Track_Profile!M92</f>
        <v>15.652135009803617</v>
      </c>
      <c r="J85" s="5">
        <f>(H85*Track_Profile!M92)/3600</f>
        <v>6.3061125718446949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F582-83CF-CB48-A494-1127350DA37E}">
  <dimension ref="A1"/>
  <sheetViews>
    <sheetView workbookViewId="0">
      <selection activeCell="D5" sqref="D5"/>
    </sheetView>
  </sheetViews>
  <sheetFormatPr defaultColWidth="11.19921875" defaultRowHeight="15.6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A642-1EB8-E941-828A-C46BADB10957}">
  <dimension ref="A1:O84"/>
  <sheetViews>
    <sheetView zoomScale="115" workbookViewId="0">
      <selection activeCell="N8" sqref="N8"/>
    </sheetView>
  </sheetViews>
  <sheetFormatPr defaultColWidth="10.796875" defaultRowHeight="15"/>
  <cols>
    <col min="1" max="1" width="10.796875" style="3"/>
    <col min="2" max="2" width="19.796875" style="3" customWidth="1"/>
    <col min="3" max="3" width="9.69921875" style="3" bestFit="1" customWidth="1"/>
    <col min="4" max="4" width="10.796875" style="3"/>
    <col min="5" max="5" width="14.69921875" style="3" customWidth="1"/>
    <col min="6" max="6" width="10.796875" style="3"/>
    <col min="7" max="7" width="16.19921875" style="3" customWidth="1"/>
    <col min="8" max="11" width="10.796875" style="3"/>
    <col min="12" max="12" width="0" style="3" hidden="1" customWidth="1"/>
    <col min="13" max="15" width="10.796875" style="3" customWidth="1"/>
    <col min="16" max="16384" width="10.796875" style="3"/>
  </cols>
  <sheetData>
    <row r="1" spans="1:15" ht="15.6">
      <c r="A1" s="1"/>
      <c r="B1" s="1"/>
      <c r="C1" s="1"/>
    </row>
    <row r="4" spans="1:15">
      <c r="C4" s="47" t="s">
        <v>45</v>
      </c>
      <c r="D4" s="47" t="s">
        <v>60</v>
      </c>
      <c r="E4" s="47" t="s">
        <v>61</v>
      </c>
      <c r="F4" s="47" t="s">
        <v>62</v>
      </c>
      <c r="G4" s="47" t="s">
        <v>63</v>
      </c>
    </row>
    <row r="5" spans="1:15">
      <c r="C5" s="5">
        <f>Track_Profile!C13</f>
        <v>1</v>
      </c>
      <c r="D5" s="5">
        <f>Track_Profile!I13</f>
        <v>800</v>
      </c>
      <c r="E5" s="5">
        <f>D5*N6*N7</f>
        <v>1182.588</v>
      </c>
      <c r="F5" s="5">
        <f>Track_Profile!M13</f>
        <v>15.83996062992126</v>
      </c>
      <c r="G5" s="5">
        <f>(E5*F5)/3600</f>
        <v>5.2033742670603678</v>
      </c>
    </row>
    <row r="6" spans="1:15">
      <c r="C6" s="5">
        <f>Track_Profile!C14</f>
        <v>2</v>
      </c>
      <c r="D6" s="5">
        <f>Track_Profile!I14</f>
        <v>800</v>
      </c>
      <c r="E6" s="5">
        <f>D6*$N$6*$N$7</f>
        <v>1182.588</v>
      </c>
      <c r="F6" s="5">
        <f>Track_Profile!M14</f>
        <v>1.3846119431749353</v>
      </c>
      <c r="G6" s="5">
        <f t="shared" ref="G6:G69" si="0">(E6*F6)/3600</f>
        <v>0.45484040795982233</v>
      </c>
      <c r="L6" s="8" t="s">
        <v>22</v>
      </c>
      <c r="M6" s="5" t="s">
        <v>23</v>
      </c>
      <c r="N6" s="6">
        <v>5.7969999999999997</v>
      </c>
      <c r="O6" s="9" t="s">
        <v>8</v>
      </c>
    </row>
    <row r="7" spans="1:15" ht="15.6" thickBot="1">
      <c r="C7" s="5">
        <f>Track_Profile!C15</f>
        <v>3</v>
      </c>
      <c r="D7" s="5">
        <f>Track_Profile!I15</f>
        <v>800</v>
      </c>
      <c r="E7" s="5">
        <f t="shared" ref="E7:E70" si="1">D7*$N$6*$N$7</f>
        <v>1182.588</v>
      </c>
      <c r="F7" s="5">
        <f>Track_Profile!M15</f>
        <v>1.3333300193536415</v>
      </c>
      <c r="G7" s="5">
        <f t="shared" si="0"/>
        <v>0.43799446692427341</v>
      </c>
      <c r="L7" s="10" t="s">
        <v>24</v>
      </c>
      <c r="M7" s="11" t="s">
        <v>25</v>
      </c>
      <c r="N7" s="12">
        <v>0.255</v>
      </c>
      <c r="O7" s="13" t="s">
        <v>18</v>
      </c>
    </row>
    <row r="8" spans="1:15">
      <c r="C8" s="5">
        <f>Track_Profile!C16</f>
        <v>4</v>
      </c>
      <c r="D8" s="5">
        <f>Track_Profile!I16</f>
        <v>800</v>
      </c>
      <c r="E8" s="5">
        <f t="shared" si="1"/>
        <v>1182.588</v>
      </c>
      <c r="F8" s="5">
        <f>Track_Profile!M16</f>
        <v>3.8571332702730334</v>
      </c>
      <c r="G8" s="5">
        <f t="shared" si="0"/>
        <v>1.2670554221737906</v>
      </c>
    </row>
    <row r="9" spans="1:15">
      <c r="C9" s="5">
        <f>Track_Profile!C17</f>
        <v>5</v>
      </c>
      <c r="D9" s="5">
        <f>Track_Profile!I17</f>
        <v>800</v>
      </c>
      <c r="E9" s="5">
        <f t="shared" si="1"/>
        <v>1182.588</v>
      </c>
      <c r="F9" s="5">
        <f>Track_Profile!M17</f>
        <v>1.2413762249154592</v>
      </c>
      <c r="G9" s="5">
        <f t="shared" si="0"/>
        <v>0.4077879519639786</v>
      </c>
    </row>
    <row r="10" spans="1:15">
      <c r="C10" s="5">
        <f>Track_Profile!C18</f>
        <v>6</v>
      </c>
      <c r="D10" s="5">
        <f>Track_Profile!I18</f>
        <v>800</v>
      </c>
      <c r="E10" s="5">
        <f t="shared" si="1"/>
        <v>1182.588</v>
      </c>
      <c r="F10" s="5">
        <f>Track_Profile!M18</f>
        <v>1.2413762249154592</v>
      </c>
      <c r="G10" s="5">
        <f t="shared" si="0"/>
        <v>0.4077879519639786</v>
      </c>
    </row>
    <row r="11" spans="1:15">
      <c r="C11" s="5">
        <f>Track_Profile!C19</f>
        <v>7</v>
      </c>
      <c r="D11" s="5">
        <f>Track_Profile!I19</f>
        <v>800</v>
      </c>
      <c r="E11" s="5">
        <f t="shared" si="1"/>
        <v>1182.588</v>
      </c>
      <c r="F11" s="5">
        <f>Track_Profile!M19</f>
        <v>1.2413762249154592</v>
      </c>
      <c r="G11" s="5">
        <f t="shared" si="0"/>
        <v>0.4077879519639786</v>
      </c>
    </row>
    <row r="12" spans="1:15">
      <c r="C12" s="5">
        <f>Track_Profile!C20</f>
        <v>8</v>
      </c>
      <c r="D12" s="5">
        <f>Track_Profile!I20</f>
        <v>800</v>
      </c>
      <c r="E12" s="5">
        <f t="shared" si="1"/>
        <v>1182.588</v>
      </c>
      <c r="F12" s="5">
        <f>Track_Profile!M20</f>
        <v>1.1999970174182772</v>
      </c>
      <c r="G12" s="5">
        <f t="shared" si="0"/>
        <v>0.39419502023184605</v>
      </c>
    </row>
    <row r="13" spans="1:15">
      <c r="C13" s="5">
        <f>Track_Profile!C21</f>
        <v>9</v>
      </c>
      <c r="D13" s="5">
        <f>Track_Profile!I21</f>
        <v>800</v>
      </c>
      <c r="E13" s="5">
        <f t="shared" si="1"/>
        <v>1182.588</v>
      </c>
      <c r="F13" s="5">
        <f>Track_Profile!M21</f>
        <v>1.161287436211236</v>
      </c>
      <c r="G13" s="5">
        <f t="shared" si="0"/>
        <v>0.38147905183727032</v>
      </c>
    </row>
    <row r="14" spans="1:15">
      <c r="C14" s="5">
        <f>Track_Profile!C22</f>
        <v>10</v>
      </c>
      <c r="D14" s="5">
        <f>Track_Profile!I22</f>
        <v>800</v>
      </c>
      <c r="E14" s="5">
        <f t="shared" si="1"/>
        <v>1182.588</v>
      </c>
      <c r="F14" s="5">
        <f>Track_Profile!M22</f>
        <v>1.1999970174182772</v>
      </c>
      <c r="G14" s="5">
        <f t="shared" si="0"/>
        <v>0.39419502023184605</v>
      </c>
    </row>
    <row r="15" spans="1:15">
      <c r="C15" s="5">
        <f>Track_Profile!C23</f>
        <v>11</v>
      </c>
      <c r="D15" s="5">
        <f>Track_Profile!I23</f>
        <v>800</v>
      </c>
      <c r="E15" s="5">
        <f t="shared" si="1"/>
        <v>1182.588</v>
      </c>
      <c r="F15" s="5">
        <f>Track_Profile!M23</f>
        <v>1.3333300193536415</v>
      </c>
      <c r="G15" s="5">
        <f t="shared" si="0"/>
        <v>0.43799446692427341</v>
      </c>
    </row>
    <row r="16" spans="1:15">
      <c r="C16" s="5">
        <f>Track_Profile!C24</f>
        <v>12</v>
      </c>
      <c r="D16" s="5">
        <f>Track_Profile!I24</f>
        <v>800</v>
      </c>
      <c r="E16" s="5">
        <f t="shared" si="1"/>
        <v>1182.588</v>
      </c>
      <c r="F16" s="5">
        <f>Track_Profile!M24</f>
        <v>2.7692238863498706</v>
      </c>
      <c r="G16" s="5">
        <f t="shared" si="0"/>
        <v>0.90968081591964467</v>
      </c>
    </row>
    <row r="17" spans="3:7">
      <c r="C17" s="5">
        <f>Track_Profile!C25</f>
        <v>13</v>
      </c>
      <c r="D17" s="5">
        <f>Track_Profile!I25</f>
        <v>800</v>
      </c>
      <c r="E17" s="5">
        <f t="shared" si="1"/>
        <v>1182.588</v>
      </c>
      <c r="F17" s="5">
        <f>Track_Profile!M25</f>
        <v>1.1999970174182772</v>
      </c>
      <c r="G17" s="5">
        <f t="shared" si="0"/>
        <v>0.39419502023184605</v>
      </c>
    </row>
    <row r="18" spans="3:7">
      <c r="C18" s="5">
        <f>Track_Profile!C26</f>
        <v>14</v>
      </c>
      <c r="D18" s="5">
        <f>Track_Profile!I26</f>
        <v>800</v>
      </c>
      <c r="E18" s="5">
        <f t="shared" si="1"/>
        <v>1182.588</v>
      </c>
      <c r="F18" s="5">
        <f>Track_Profile!M26</f>
        <v>1.124997203829635</v>
      </c>
      <c r="G18" s="5">
        <f t="shared" si="0"/>
        <v>0.36955783146735566</v>
      </c>
    </row>
    <row r="19" spans="3:7">
      <c r="C19" s="5">
        <f>Track_Profile!C27</f>
        <v>15</v>
      </c>
      <c r="D19" s="5">
        <f>Track_Profile!I27</f>
        <v>800</v>
      </c>
      <c r="E19" s="5">
        <f t="shared" si="1"/>
        <v>1182.588</v>
      </c>
      <c r="F19" s="5">
        <f>Track_Profile!M27</f>
        <v>1.124997203829635</v>
      </c>
      <c r="G19" s="5">
        <f t="shared" si="0"/>
        <v>0.36955783146735566</v>
      </c>
    </row>
    <row r="20" spans="3:7">
      <c r="C20" s="5">
        <f>Track_Profile!C28</f>
        <v>16</v>
      </c>
      <c r="D20" s="5">
        <f>Track_Profile!I28</f>
        <v>800</v>
      </c>
      <c r="E20" s="5">
        <f t="shared" si="1"/>
        <v>1182.588</v>
      </c>
      <c r="F20" s="5">
        <f>Track_Profile!M28</f>
        <v>2.1176417954440185</v>
      </c>
      <c r="G20" s="5">
        <f t="shared" si="0"/>
        <v>0.69563827099737519</v>
      </c>
    </row>
    <row r="21" spans="3:7">
      <c r="C21" s="5">
        <f>Track_Profile!C29</f>
        <v>17</v>
      </c>
      <c r="D21" s="5">
        <f>Track_Profile!I29</f>
        <v>800</v>
      </c>
      <c r="E21" s="5">
        <f t="shared" si="1"/>
        <v>1182.588</v>
      </c>
      <c r="F21" s="5">
        <f>Track_Profile!M29</f>
        <v>4.9999875725761544</v>
      </c>
      <c r="G21" s="5">
        <f t="shared" si="0"/>
        <v>1.6424792509660249</v>
      </c>
    </row>
    <row r="22" spans="3:7">
      <c r="C22" s="5">
        <f>Track_Profile!C30</f>
        <v>18</v>
      </c>
      <c r="D22" s="5">
        <f>Track_Profile!I30</f>
        <v>800</v>
      </c>
      <c r="E22" s="5">
        <f t="shared" si="1"/>
        <v>1182.588</v>
      </c>
      <c r="F22" s="5">
        <f>Track_Profile!M30</f>
        <v>1.0588208977220093</v>
      </c>
      <c r="G22" s="5">
        <f t="shared" si="0"/>
        <v>0.34781913549868759</v>
      </c>
    </row>
    <row r="23" spans="3:7">
      <c r="C23" s="5">
        <f>Track_Profile!C31</f>
        <v>19</v>
      </c>
      <c r="D23" s="5">
        <f>Track_Profile!I31</f>
        <v>800</v>
      </c>
      <c r="E23" s="5">
        <f t="shared" si="1"/>
        <v>1182.588</v>
      </c>
      <c r="F23" s="5">
        <f>Track_Profile!M31</f>
        <v>7.578928531062803</v>
      </c>
      <c r="G23" s="5">
        <f t="shared" si="0"/>
        <v>2.4896527593590272</v>
      </c>
    </row>
    <row r="24" spans="3:7">
      <c r="C24" s="5">
        <f>Track_Profile!C32</f>
        <v>20</v>
      </c>
      <c r="D24" s="5">
        <f>Track_Profile!I32</f>
        <v>800</v>
      </c>
      <c r="E24" s="5">
        <f t="shared" si="1"/>
        <v>1182.588</v>
      </c>
      <c r="F24" s="5">
        <f>Track_Profile!M32</f>
        <v>0.99999751451523089</v>
      </c>
      <c r="G24" s="5">
        <f t="shared" si="0"/>
        <v>0.32849585019320493</v>
      </c>
    </row>
    <row r="25" spans="3:7">
      <c r="C25" s="5">
        <f>Track_Profile!C33</f>
        <v>21</v>
      </c>
      <c r="D25" s="5">
        <f>Track_Profile!I33</f>
        <v>800</v>
      </c>
      <c r="E25" s="5">
        <f t="shared" si="1"/>
        <v>1182.588</v>
      </c>
      <c r="F25" s="5">
        <f>Track_Profile!M33</f>
        <v>1.124997203829635</v>
      </c>
      <c r="G25" s="5">
        <f t="shared" si="0"/>
        <v>0.36955783146735566</v>
      </c>
    </row>
    <row r="26" spans="3:7">
      <c r="C26" s="5">
        <f>Track_Profile!C34</f>
        <v>22</v>
      </c>
      <c r="D26" s="5">
        <f>Track_Profile!I34</f>
        <v>800</v>
      </c>
      <c r="E26" s="5">
        <f t="shared" si="1"/>
        <v>1182.588</v>
      </c>
      <c r="F26" s="5">
        <f>Track_Profile!M34</f>
        <v>1.124997203829635</v>
      </c>
      <c r="G26" s="5">
        <f t="shared" si="0"/>
        <v>0.36955783146735566</v>
      </c>
    </row>
    <row r="27" spans="3:7">
      <c r="C27" s="5">
        <f>Track_Profile!C35</f>
        <v>23</v>
      </c>
      <c r="D27" s="5">
        <f>Track_Profile!I35</f>
        <v>800</v>
      </c>
      <c r="E27" s="5">
        <f t="shared" si="1"/>
        <v>1182.588</v>
      </c>
      <c r="F27" s="5">
        <f>Track_Profile!M35</f>
        <v>1.0588208977220093</v>
      </c>
      <c r="G27" s="5">
        <f t="shared" si="0"/>
        <v>0.34781913549868759</v>
      </c>
    </row>
    <row r="28" spans="3:7">
      <c r="C28" s="5">
        <f>Track_Profile!C36</f>
        <v>24</v>
      </c>
      <c r="D28" s="5">
        <f>Track_Profile!I36</f>
        <v>800</v>
      </c>
      <c r="E28" s="5">
        <f t="shared" si="1"/>
        <v>1182.588</v>
      </c>
      <c r="F28" s="5">
        <f>Track_Profile!M36</f>
        <v>1.9999950290304618</v>
      </c>
      <c r="G28" s="5">
        <f t="shared" si="0"/>
        <v>0.65699170038640986</v>
      </c>
    </row>
    <row r="29" spans="3:7">
      <c r="C29" s="5">
        <f>Track_Profile!C37</f>
        <v>25</v>
      </c>
      <c r="D29" s="5">
        <f>Track_Profile!I37</f>
        <v>800</v>
      </c>
      <c r="E29" s="5">
        <f t="shared" si="1"/>
        <v>1182.588</v>
      </c>
      <c r="F29" s="5">
        <f>Track_Profile!M37</f>
        <v>13.263124929359908</v>
      </c>
      <c r="G29" s="5">
        <f t="shared" si="0"/>
        <v>4.3568923288782981</v>
      </c>
    </row>
    <row r="30" spans="3:7">
      <c r="C30" s="5">
        <f>Track_Profile!C38</f>
        <v>26</v>
      </c>
      <c r="D30" s="5">
        <f>Track_Profile!I38</f>
        <v>800</v>
      </c>
      <c r="E30" s="5">
        <f t="shared" si="1"/>
        <v>1182.588</v>
      </c>
      <c r="F30" s="5">
        <f>Track_Profile!M38</f>
        <v>11.571399810819102</v>
      </c>
      <c r="G30" s="5">
        <f t="shared" si="0"/>
        <v>3.8011662665213719</v>
      </c>
    </row>
    <row r="31" spans="3:7">
      <c r="C31" s="5">
        <f>Track_Profile!C39</f>
        <v>27</v>
      </c>
      <c r="D31" s="5">
        <f>Track_Profile!I39</f>
        <v>800</v>
      </c>
      <c r="E31" s="5">
        <f t="shared" si="1"/>
        <v>1182.588</v>
      </c>
      <c r="F31" s="5">
        <f>Track_Profile!M39</f>
        <v>17.052589194891308</v>
      </c>
      <c r="G31" s="5">
        <f t="shared" si="0"/>
        <v>5.6017187085578115</v>
      </c>
    </row>
    <row r="32" spans="3:7">
      <c r="C32" s="5">
        <f>Track_Profile!C40</f>
        <v>28</v>
      </c>
      <c r="D32" s="5">
        <f>Track_Profile!I40</f>
        <v>800</v>
      </c>
      <c r="E32" s="5">
        <f t="shared" si="1"/>
        <v>1182.588</v>
      </c>
      <c r="F32" s="5">
        <f>Track_Profile!M40</f>
        <v>12.857110900910113</v>
      </c>
      <c r="G32" s="5">
        <f t="shared" si="0"/>
        <v>4.2235180739126355</v>
      </c>
    </row>
    <row r="33" spans="3:7">
      <c r="C33" s="5">
        <f>Track_Profile!C41</f>
        <v>29</v>
      </c>
      <c r="D33" s="5">
        <f>Track_Profile!I41</f>
        <v>800</v>
      </c>
      <c r="E33" s="5">
        <f t="shared" si="1"/>
        <v>1182.588</v>
      </c>
      <c r="F33" s="5">
        <f>Track_Profile!M41</f>
        <v>11.571399810819102</v>
      </c>
      <c r="G33" s="5">
        <f t="shared" si="0"/>
        <v>3.8011662665213719</v>
      </c>
    </row>
    <row r="34" spans="3:7">
      <c r="C34" s="5">
        <f>Track_Profile!C42</f>
        <v>30</v>
      </c>
      <c r="D34" s="5">
        <f>Track_Profile!I42</f>
        <v>800</v>
      </c>
      <c r="E34" s="5">
        <f t="shared" si="1"/>
        <v>1182.588</v>
      </c>
      <c r="F34" s="5">
        <f>Track_Profile!M42</f>
        <v>11.249972038296349</v>
      </c>
      <c r="G34" s="5">
        <f t="shared" si="0"/>
        <v>3.6955783146735559</v>
      </c>
    </row>
    <row r="35" spans="3:7">
      <c r="C35" s="5">
        <f>Track_Profile!C43</f>
        <v>31</v>
      </c>
      <c r="D35" s="5">
        <f>Track_Profile!I43</f>
        <v>800</v>
      </c>
      <c r="E35" s="5">
        <f t="shared" si="1"/>
        <v>1182.588</v>
      </c>
      <c r="F35" s="5">
        <f>Track_Profile!M43</f>
        <v>8.9999776306370798</v>
      </c>
      <c r="G35" s="5">
        <f t="shared" si="0"/>
        <v>2.9564626517388453</v>
      </c>
    </row>
    <row r="36" spans="3:7">
      <c r="C36" s="5">
        <f>Track_Profile!C44</f>
        <v>32</v>
      </c>
      <c r="D36" s="5">
        <f>Track_Profile!I44</f>
        <v>800</v>
      </c>
      <c r="E36" s="5">
        <f t="shared" si="1"/>
        <v>1182.588</v>
      </c>
      <c r="F36" s="5">
        <f>Track_Profile!M44</f>
        <v>13.263124929359908</v>
      </c>
      <c r="G36" s="5">
        <f t="shared" si="0"/>
        <v>4.3568923288782981</v>
      </c>
    </row>
    <row r="37" spans="3:7">
      <c r="C37" s="5">
        <f>Track_Profile!C45</f>
        <v>33</v>
      </c>
      <c r="D37" s="5">
        <f>Track_Profile!I45</f>
        <v>800</v>
      </c>
      <c r="E37" s="5">
        <f t="shared" si="1"/>
        <v>1182.588</v>
      </c>
      <c r="F37" s="5">
        <f>Track_Profile!M45</f>
        <v>8.9999776306370798</v>
      </c>
      <c r="G37" s="5">
        <f t="shared" si="0"/>
        <v>2.9564626517388453</v>
      </c>
    </row>
    <row r="38" spans="3:7">
      <c r="C38" s="5">
        <f>Track_Profile!C46</f>
        <v>34</v>
      </c>
      <c r="D38" s="5">
        <f>Track_Profile!I46</f>
        <v>800</v>
      </c>
      <c r="E38" s="5">
        <f t="shared" si="1"/>
        <v>1182.588</v>
      </c>
      <c r="F38" s="5">
        <f>Track_Profile!M46</f>
        <v>7.7142665405460669</v>
      </c>
      <c r="G38" s="5">
        <f t="shared" si="0"/>
        <v>2.5341108443475813</v>
      </c>
    </row>
    <row r="39" spans="3:7">
      <c r="C39" s="5">
        <f>Track_Profile!C47</f>
        <v>35</v>
      </c>
      <c r="D39" s="5">
        <f>Track_Profile!I47</f>
        <v>800</v>
      </c>
      <c r="E39" s="5">
        <f t="shared" si="1"/>
        <v>1182.588</v>
      </c>
      <c r="F39" s="5">
        <f>Track_Profile!M47</f>
        <v>6.9999826016066171</v>
      </c>
      <c r="G39" s="5">
        <f t="shared" si="0"/>
        <v>2.2994709513524354</v>
      </c>
    </row>
    <row r="40" spans="3:7">
      <c r="C40" s="5">
        <f>Track_Profile!C48</f>
        <v>36</v>
      </c>
      <c r="D40" s="5">
        <f>Track_Profile!I48</f>
        <v>800</v>
      </c>
      <c r="E40" s="5">
        <f t="shared" si="1"/>
        <v>1182.588</v>
      </c>
      <c r="F40" s="5">
        <f>Track_Profile!M48</f>
        <v>1.0588208977220093</v>
      </c>
      <c r="G40" s="5">
        <f t="shared" si="0"/>
        <v>0.34781913549868759</v>
      </c>
    </row>
    <row r="41" spans="3:7">
      <c r="C41" s="5">
        <f>Track_Profile!C49</f>
        <v>37</v>
      </c>
      <c r="D41" s="5">
        <f>Track_Profile!I49</f>
        <v>800</v>
      </c>
      <c r="E41" s="5">
        <f t="shared" si="1"/>
        <v>1182.588</v>
      </c>
      <c r="F41" s="5">
        <f>Track_Profile!M49</f>
        <v>3.3749916114889045</v>
      </c>
      <c r="G41" s="5">
        <f t="shared" si="0"/>
        <v>1.1086734944020669</v>
      </c>
    </row>
    <row r="42" spans="3:7">
      <c r="C42" s="5">
        <f>Track_Profile!C50</f>
        <v>38</v>
      </c>
      <c r="D42" s="5">
        <f>Track_Profile!I50</f>
        <v>800</v>
      </c>
      <c r="E42" s="5">
        <f t="shared" si="1"/>
        <v>1182.588</v>
      </c>
      <c r="F42" s="5">
        <f>Track_Profile!M50</f>
        <v>2.7692238863498706</v>
      </c>
      <c r="G42" s="5">
        <f t="shared" si="0"/>
        <v>0.90968081591964467</v>
      </c>
    </row>
    <row r="43" spans="3:7">
      <c r="C43" s="5">
        <f>Track_Profile!C51</f>
        <v>39</v>
      </c>
      <c r="D43" s="5">
        <f>Track_Profile!I51</f>
        <v>800</v>
      </c>
      <c r="E43" s="5">
        <f t="shared" si="1"/>
        <v>1182.588</v>
      </c>
      <c r="F43" s="5">
        <f>Track_Profile!M51</f>
        <v>1.124997203829635</v>
      </c>
      <c r="G43" s="5">
        <f t="shared" si="0"/>
        <v>0.36955783146735566</v>
      </c>
    </row>
    <row r="44" spans="3:7">
      <c r="C44" s="5">
        <f>Track_Profile!C52</f>
        <v>40</v>
      </c>
      <c r="D44" s="5">
        <f>Track_Profile!I52</f>
        <v>800</v>
      </c>
      <c r="E44" s="5">
        <f t="shared" si="1"/>
        <v>1182.588</v>
      </c>
      <c r="F44" s="5">
        <f>Track_Profile!M52</f>
        <v>1.2857110900910111</v>
      </c>
      <c r="G44" s="5">
        <f t="shared" si="0"/>
        <v>0.42235180739126349</v>
      </c>
    </row>
    <row r="45" spans="3:7">
      <c r="C45" s="5">
        <f>Track_Profile!C53</f>
        <v>41</v>
      </c>
      <c r="D45" s="5">
        <f>Track_Profile!I53</f>
        <v>800</v>
      </c>
      <c r="E45" s="5">
        <f t="shared" si="1"/>
        <v>1182.588</v>
      </c>
      <c r="F45" s="5">
        <f>Track_Profile!M53</f>
        <v>1.124997203829635</v>
      </c>
      <c r="G45" s="5">
        <f t="shared" si="0"/>
        <v>0.36955783146735566</v>
      </c>
    </row>
    <row r="46" spans="3:7">
      <c r="C46" s="5">
        <f>Track_Profile!C54</f>
        <v>42</v>
      </c>
      <c r="D46" s="5">
        <f>Track_Profile!I54</f>
        <v>800</v>
      </c>
      <c r="E46" s="5">
        <f t="shared" si="1"/>
        <v>1182.588</v>
      </c>
      <c r="F46" s="5">
        <f>Track_Profile!M54</f>
        <v>2.1176417954440185</v>
      </c>
      <c r="G46" s="5">
        <f t="shared" si="0"/>
        <v>0.69563827099737519</v>
      </c>
    </row>
    <row r="47" spans="3:7">
      <c r="C47" s="5">
        <f>Track_Profile!C55</f>
        <v>43</v>
      </c>
      <c r="D47" s="5">
        <f>Track_Profile!I55</f>
        <v>800</v>
      </c>
      <c r="E47" s="5">
        <f t="shared" si="1"/>
        <v>1182.588</v>
      </c>
      <c r="F47" s="5">
        <f>Track_Profile!M55</f>
        <v>8.5262945974456539</v>
      </c>
      <c r="G47" s="5">
        <f t="shared" si="0"/>
        <v>2.8008593542789058</v>
      </c>
    </row>
    <row r="48" spans="3:7">
      <c r="C48" s="5">
        <f>Track_Profile!C56</f>
        <v>44</v>
      </c>
      <c r="D48" s="5">
        <f>Track_Profile!I56</f>
        <v>800</v>
      </c>
      <c r="E48" s="5">
        <f t="shared" si="1"/>
        <v>1182.588</v>
      </c>
      <c r="F48" s="5">
        <f>Track_Profile!M56</f>
        <v>1.8947321327657007</v>
      </c>
      <c r="G48" s="5">
        <f t="shared" si="0"/>
        <v>0.6224131898397568</v>
      </c>
    </row>
    <row r="49" spans="3:7">
      <c r="C49" s="5">
        <f>Track_Profile!C57</f>
        <v>45</v>
      </c>
      <c r="D49" s="5">
        <f>Track_Profile!I57</f>
        <v>800</v>
      </c>
      <c r="E49" s="5">
        <f t="shared" si="1"/>
        <v>1182.588</v>
      </c>
      <c r="F49" s="5">
        <f>Track_Profile!M57</f>
        <v>17.052589194891308</v>
      </c>
      <c r="G49" s="5">
        <f t="shared" si="0"/>
        <v>5.6017187085578115</v>
      </c>
    </row>
    <row r="50" spans="3:7">
      <c r="C50" s="5">
        <f>Track_Profile!C58</f>
        <v>46</v>
      </c>
      <c r="D50" s="5">
        <f>Track_Profile!I58</f>
        <v>800</v>
      </c>
      <c r="E50" s="5">
        <f t="shared" si="1"/>
        <v>1182.588</v>
      </c>
      <c r="F50" s="5">
        <f>Track_Profile!M58</f>
        <v>1.124997203829635</v>
      </c>
      <c r="G50" s="5">
        <f t="shared" si="0"/>
        <v>0.36955783146735566</v>
      </c>
    </row>
    <row r="51" spans="3:7">
      <c r="C51" s="5">
        <f>Track_Profile!C59</f>
        <v>47</v>
      </c>
      <c r="D51" s="5">
        <f>Track_Profile!I59</f>
        <v>800</v>
      </c>
      <c r="E51" s="5">
        <f t="shared" si="1"/>
        <v>1182.588</v>
      </c>
      <c r="F51" s="5">
        <f>Track_Profile!M59</f>
        <v>2.1176417954440185</v>
      </c>
      <c r="G51" s="5">
        <f t="shared" si="0"/>
        <v>0.69563827099737519</v>
      </c>
    </row>
    <row r="52" spans="3:7">
      <c r="C52" s="5">
        <f>Track_Profile!C60</f>
        <v>48</v>
      </c>
      <c r="D52" s="5">
        <f>Track_Profile!I60</f>
        <v>800</v>
      </c>
      <c r="E52" s="5">
        <f t="shared" si="1"/>
        <v>1182.588</v>
      </c>
      <c r="F52" s="5">
        <f>Track_Profile!M60</f>
        <v>0.99999751451523089</v>
      </c>
      <c r="G52" s="5">
        <f t="shared" si="0"/>
        <v>0.32849585019320493</v>
      </c>
    </row>
    <row r="53" spans="3:7">
      <c r="C53" s="5">
        <f>Track_Profile!C61</f>
        <v>49</v>
      </c>
      <c r="D53" s="5">
        <f>Track_Profile!I61</f>
        <v>800</v>
      </c>
      <c r="E53" s="5">
        <f t="shared" si="1"/>
        <v>1182.588</v>
      </c>
      <c r="F53" s="5">
        <f>Track_Profile!M61</f>
        <v>12.857110900910113</v>
      </c>
      <c r="G53" s="5">
        <f t="shared" si="0"/>
        <v>4.2235180739126355</v>
      </c>
    </row>
    <row r="54" spans="3:7">
      <c r="C54" s="5">
        <f>Track_Profile!C62</f>
        <v>50</v>
      </c>
      <c r="D54" s="5">
        <f>Track_Profile!I62</f>
        <v>800</v>
      </c>
      <c r="E54" s="5">
        <f t="shared" si="1"/>
        <v>1182.588</v>
      </c>
      <c r="F54" s="5">
        <f>Track_Profile!M62</f>
        <v>0.94736606638285037</v>
      </c>
      <c r="G54" s="5">
        <f t="shared" si="0"/>
        <v>0.3112065949198784</v>
      </c>
    </row>
    <row r="55" spans="3:7">
      <c r="C55" s="5">
        <f>Track_Profile!C63</f>
        <v>51</v>
      </c>
      <c r="D55" s="5">
        <f>Track_Profile!I63</f>
        <v>800</v>
      </c>
      <c r="E55" s="5">
        <f t="shared" si="1"/>
        <v>1182.588</v>
      </c>
      <c r="F55" s="5">
        <f>Track_Profile!M63</f>
        <v>0.99999751451523089</v>
      </c>
      <c r="G55" s="5">
        <f t="shared" si="0"/>
        <v>0.32849585019320493</v>
      </c>
    </row>
    <row r="56" spans="3:7">
      <c r="C56" s="5">
        <f>Track_Profile!C64</f>
        <v>52</v>
      </c>
      <c r="D56" s="5">
        <f>Track_Profile!I64</f>
        <v>800</v>
      </c>
      <c r="E56" s="5">
        <f t="shared" si="1"/>
        <v>1182.588</v>
      </c>
      <c r="F56" s="5">
        <f>Track_Profile!M64</f>
        <v>3.1764626931660276</v>
      </c>
      <c r="G56" s="5">
        <f t="shared" si="0"/>
        <v>1.0434574064960629</v>
      </c>
    </row>
    <row r="57" spans="3:7">
      <c r="C57" s="5">
        <f>Track_Profile!C65</f>
        <v>53</v>
      </c>
      <c r="D57" s="5">
        <f>Track_Profile!I65</f>
        <v>800</v>
      </c>
      <c r="E57" s="5">
        <f t="shared" si="1"/>
        <v>1182.588</v>
      </c>
      <c r="F57" s="5">
        <f>Track_Profile!M65</f>
        <v>0.99999751451523089</v>
      </c>
      <c r="G57" s="5">
        <f t="shared" si="0"/>
        <v>0.32849585019320493</v>
      </c>
    </row>
    <row r="58" spans="3:7">
      <c r="C58" s="5">
        <f>Track_Profile!C66</f>
        <v>54</v>
      </c>
      <c r="D58" s="5">
        <f>Track_Profile!I66</f>
        <v>800</v>
      </c>
      <c r="E58" s="5">
        <f t="shared" si="1"/>
        <v>1182.588</v>
      </c>
      <c r="F58" s="5">
        <f>Track_Profile!M66</f>
        <v>1.8947321327657007</v>
      </c>
      <c r="G58" s="5">
        <f t="shared" si="0"/>
        <v>0.6224131898397568</v>
      </c>
    </row>
    <row r="59" spans="3:7">
      <c r="C59" s="5">
        <f>Track_Profile!C67</f>
        <v>55</v>
      </c>
      <c r="D59" s="5">
        <f>Track_Profile!I67</f>
        <v>800</v>
      </c>
      <c r="E59" s="5">
        <f t="shared" si="1"/>
        <v>1182.588</v>
      </c>
      <c r="F59" s="5">
        <f>Track_Profile!M67</f>
        <v>0.94736606638285037</v>
      </c>
      <c r="G59" s="5">
        <f t="shared" si="0"/>
        <v>0.3112065949198784</v>
      </c>
    </row>
    <row r="60" spans="3:7">
      <c r="C60" s="5">
        <f>Track_Profile!C68</f>
        <v>56</v>
      </c>
      <c r="D60" s="5">
        <f>Track_Profile!I68</f>
        <v>800</v>
      </c>
      <c r="E60" s="5">
        <f t="shared" si="1"/>
        <v>1182.588</v>
      </c>
      <c r="F60" s="5">
        <f>Track_Profile!M68</f>
        <v>1.0588208977220093</v>
      </c>
      <c r="G60" s="5">
        <f t="shared" si="0"/>
        <v>0.34781913549868759</v>
      </c>
    </row>
    <row r="61" spans="3:7">
      <c r="C61" s="5">
        <f>Track_Profile!C69</f>
        <v>57</v>
      </c>
      <c r="D61" s="5">
        <f>Track_Profile!I69</f>
        <v>800</v>
      </c>
      <c r="E61" s="5">
        <f t="shared" si="1"/>
        <v>1182.588</v>
      </c>
      <c r="F61" s="5">
        <f>Track_Profile!M69</f>
        <v>1.028568872072809</v>
      </c>
      <c r="G61" s="5">
        <f t="shared" si="0"/>
        <v>0.33788144591301084</v>
      </c>
    </row>
    <row r="62" spans="3:7">
      <c r="C62" s="5">
        <f>Track_Profile!C70</f>
        <v>58</v>
      </c>
      <c r="D62" s="5">
        <f>Track_Profile!I70</f>
        <v>800</v>
      </c>
      <c r="E62" s="5">
        <f t="shared" si="1"/>
        <v>1182.588</v>
      </c>
      <c r="F62" s="5">
        <f>Track_Profile!M70</f>
        <v>8.4705671817760742</v>
      </c>
      <c r="G62" s="5">
        <f t="shared" si="0"/>
        <v>2.7825530839895007</v>
      </c>
    </row>
    <row r="63" spans="3:7">
      <c r="C63" s="5">
        <f>Track_Profile!C71</f>
        <v>59</v>
      </c>
      <c r="D63" s="5">
        <f>Track_Profile!I71</f>
        <v>800</v>
      </c>
      <c r="E63" s="5">
        <f t="shared" si="1"/>
        <v>1182.588</v>
      </c>
      <c r="F63" s="5">
        <f>Track_Profile!M71</f>
        <v>1.124997203829635</v>
      </c>
      <c r="G63" s="5">
        <f t="shared" si="0"/>
        <v>0.36955783146735566</v>
      </c>
    </row>
    <row r="64" spans="3:7">
      <c r="C64" s="5">
        <f>Track_Profile!C72</f>
        <v>60</v>
      </c>
      <c r="D64" s="5">
        <f>Track_Profile!I72</f>
        <v>800</v>
      </c>
      <c r="E64" s="5">
        <f t="shared" si="1"/>
        <v>1182.588</v>
      </c>
      <c r="F64" s="5">
        <f>Track_Profile!M72</f>
        <v>1.161287436211236</v>
      </c>
      <c r="G64" s="5">
        <f t="shared" si="0"/>
        <v>0.38147905183727032</v>
      </c>
    </row>
    <row r="65" spans="3:7">
      <c r="C65" s="5">
        <f>Track_Profile!C73</f>
        <v>61</v>
      </c>
      <c r="D65" s="5">
        <f>Track_Profile!I73</f>
        <v>800</v>
      </c>
      <c r="E65" s="5">
        <f t="shared" si="1"/>
        <v>1182.588</v>
      </c>
      <c r="F65" s="5">
        <f>Track_Profile!M73</f>
        <v>16.874958057444523</v>
      </c>
      <c r="G65" s="5">
        <f t="shared" si="0"/>
        <v>5.5433674720103339</v>
      </c>
    </row>
    <row r="66" spans="3:7">
      <c r="C66" s="5">
        <f>Track_Profile!C74</f>
        <v>62</v>
      </c>
      <c r="D66" s="5">
        <f>Track_Profile!I74</f>
        <v>800</v>
      </c>
      <c r="E66" s="5">
        <f t="shared" si="1"/>
        <v>1182.588</v>
      </c>
      <c r="F66" s="5">
        <f>Track_Profile!M74</f>
        <v>1.0909063794711611</v>
      </c>
      <c r="G66" s="5">
        <f t="shared" si="0"/>
        <v>0.35835910930167819</v>
      </c>
    </row>
    <row r="67" spans="3:7">
      <c r="C67" s="5">
        <f>Track_Profile!C75</f>
        <v>63</v>
      </c>
      <c r="D67" s="5">
        <f>Track_Profile!I75</f>
        <v>800</v>
      </c>
      <c r="E67" s="5">
        <f t="shared" si="1"/>
        <v>1182.588</v>
      </c>
      <c r="F67" s="5">
        <f>Track_Profile!M75</f>
        <v>1.0588208977220093</v>
      </c>
      <c r="G67" s="5">
        <f t="shared" si="0"/>
        <v>0.34781913549868759</v>
      </c>
    </row>
    <row r="68" spans="3:7">
      <c r="C68" s="5">
        <f>Track_Profile!C76</f>
        <v>64</v>
      </c>
      <c r="D68" s="5">
        <f>Track_Profile!I76</f>
        <v>800</v>
      </c>
      <c r="E68" s="5">
        <f t="shared" si="1"/>
        <v>1182.588</v>
      </c>
      <c r="F68" s="5">
        <f>Track_Profile!M76</f>
        <v>2.057137744145618</v>
      </c>
      <c r="G68" s="5">
        <f t="shared" si="0"/>
        <v>0.67576289182602167</v>
      </c>
    </row>
    <row r="69" spans="3:7">
      <c r="C69" s="5">
        <f>Track_Profile!C77</f>
        <v>65</v>
      </c>
      <c r="D69" s="5">
        <f>Track_Profile!I77</f>
        <v>800</v>
      </c>
      <c r="E69" s="5">
        <f t="shared" si="1"/>
        <v>1182.588</v>
      </c>
      <c r="F69" s="5">
        <f>Track_Profile!M77</f>
        <v>3.1764626931660276</v>
      </c>
      <c r="G69" s="5">
        <f t="shared" si="0"/>
        <v>1.0434574064960629</v>
      </c>
    </row>
    <row r="70" spans="3:7">
      <c r="C70" s="5">
        <f>Track_Profile!C78</f>
        <v>66</v>
      </c>
      <c r="D70" s="5">
        <f>Track_Profile!I78</f>
        <v>800</v>
      </c>
      <c r="E70" s="5">
        <f t="shared" si="1"/>
        <v>1182.588</v>
      </c>
      <c r="F70" s="5">
        <f>Track_Profile!M78</f>
        <v>16.874958057444523</v>
      </c>
      <c r="G70" s="5">
        <f t="shared" ref="G70:G84" si="2">(E70*F70)/3600</f>
        <v>5.5433674720103339</v>
      </c>
    </row>
    <row r="71" spans="3:7">
      <c r="C71" s="5">
        <f>Track_Profile!C79</f>
        <v>67</v>
      </c>
      <c r="D71" s="5">
        <f>Track_Profile!I79</f>
        <v>800</v>
      </c>
      <c r="E71" s="5">
        <f t="shared" ref="E71:E84" si="3">D71*$N$6*$N$7</f>
        <v>1182.588</v>
      </c>
      <c r="F71" s="5">
        <f>Track_Profile!M79</f>
        <v>1.161287436211236</v>
      </c>
      <c r="G71" s="5">
        <f t="shared" si="2"/>
        <v>0.38147905183727032</v>
      </c>
    </row>
    <row r="72" spans="3:7">
      <c r="C72" s="5">
        <f>Track_Profile!C80</f>
        <v>68</v>
      </c>
      <c r="D72" s="5">
        <f>Track_Profile!I80</f>
        <v>800</v>
      </c>
      <c r="E72" s="5">
        <f t="shared" si="3"/>
        <v>1182.588</v>
      </c>
      <c r="F72" s="5">
        <f>Track_Profile!M80</f>
        <v>2.3999940348365545</v>
      </c>
      <c r="G72" s="5">
        <f t="shared" si="2"/>
        <v>0.7883900404636921</v>
      </c>
    </row>
    <row r="73" spans="3:7">
      <c r="C73" s="5">
        <f>Track_Profile!C81</f>
        <v>69</v>
      </c>
      <c r="D73" s="5">
        <f>Track_Profile!I81</f>
        <v>800</v>
      </c>
      <c r="E73" s="5">
        <f t="shared" si="3"/>
        <v>1182.588</v>
      </c>
      <c r="F73" s="5">
        <f>Track_Profile!M81</f>
        <v>1.2857110900910111</v>
      </c>
      <c r="G73" s="5">
        <f t="shared" si="2"/>
        <v>0.42235180739126349</v>
      </c>
    </row>
    <row r="74" spans="3:7">
      <c r="C74" s="5">
        <f>Track_Profile!C82</f>
        <v>70</v>
      </c>
      <c r="D74" s="5">
        <f>Track_Profile!I82</f>
        <v>800</v>
      </c>
      <c r="E74" s="5">
        <f t="shared" si="3"/>
        <v>1182.588</v>
      </c>
      <c r="F74" s="5">
        <f>Track_Profile!M82</f>
        <v>5.5384477726997412</v>
      </c>
      <c r="G74" s="5">
        <f t="shared" si="2"/>
        <v>1.8193616318392893</v>
      </c>
    </row>
    <row r="75" spans="3:7">
      <c r="C75" s="5">
        <f>Track_Profile!C83</f>
        <v>71</v>
      </c>
      <c r="D75" s="5">
        <f>Track_Profile!I83</f>
        <v>800</v>
      </c>
      <c r="E75" s="5">
        <f t="shared" si="3"/>
        <v>1182.588</v>
      </c>
      <c r="F75" s="5">
        <f>Track_Profile!M83</f>
        <v>1.4399964209019327</v>
      </c>
      <c r="G75" s="5">
        <f t="shared" si="2"/>
        <v>0.47303402427821517</v>
      </c>
    </row>
    <row r="76" spans="3:7">
      <c r="C76" s="5">
        <f>Track_Profile!C84</f>
        <v>72</v>
      </c>
      <c r="D76" s="5">
        <f>Track_Profile!I84</f>
        <v>800</v>
      </c>
      <c r="E76" s="5">
        <f t="shared" si="3"/>
        <v>1182.588</v>
      </c>
      <c r="F76" s="5">
        <f>Track_Profile!M84</f>
        <v>3.2727191384134833</v>
      </c>
      <c r="G76" s="5">
        <f t="shared" si="2"/>
        <v>1.0750773279050345</v>
      </c>
    </row>
    <row r="77" spans="3:7">
      <c r="C77" s="5">
        <f>Track_Profile!C85</f>
        <v>73</v>
      </c>
      <c r="D77" s="5">
        <f>Track_Profile!I85</f>
        <v>800</v>
      </c>
      <c r="E77" s="5">
        <f t="shared" si="3"/>
        <v>1182.588</v>
      </c>
      <c r="F77" s="5">
        <f>Track_Profile!M85</f>
        <v>1.7142814534546815</v>
      </c>
      <c r="G77" s="5">
        <f t="shared" si="2"/>
        <v>0.56313574318835136</v>
      </c>
    </row>
    <row r="78" spans="3:7">
      <c r="C78" s="5">
        <f>Track_Profile!C86</f>
        <v>74</v>
      </c>
      <c r="D78" s="5">
        <f>Track_Profile!I86</f>
        <v>800</v>
      </c>
      <c r="E78" s="5">
        <f t="shared" si="3"/>
        <v>1182.588</v>
      </c>
      <c r="F78" s="5">
        <f>Track_Profile!M86</f>
        <v>1.7999955261274159</v>
      </c>
      <c r="G78" s="5">
        <f t="shared" si="2"/>
        <v>0.59129253034776907</v>
      </c>
    </row>
    <row r="79" spans="3:7">
      <c r="C79" s="5">
        <f>Track_Profile!C87</f>
        <v>75</v>
      </c>
      <c r="D79" s="5">
        <f>Track_Profile!I87</f>
        <v>800</v>
      </c>
      <c r="E79" s="5">
        <f t="shared" si="3"/>
        <v>1182.588</v>
      </c>
      <c r="F79" s="5">
        <f>Track_Profile!M87</f>
        <v>5.684196398297102</v>
      </c>
      <c r="G79" s="5">
        <f t="shared" si="2"/>
        <v>1.8672395695192703</v>
      </c>
    </row>
    <row r="80" spans="3:7">
      <c r="C80" s="5">
        <f>Track_Profile!C88</f>
        <v>76</v>
      </c>
      <c r="D80" s="5">
        <f>Track_Profile!I88</f>
        <v>800</v>
      </c>
      <c r="E80" s="5">
        <f t="shared" si="3"/>
        <v>1182.588</v>
      </c>
      <c r="F80" s="5">
        <f>Track_Profile!M88</f>
        <v>1.7999955261274159</v>
      </c>
      <c r="G80" s="5">
        <f t="shared" si="2"/>
        <v>0.59129253034776907</v>
      </c>
    </row>
    <row r="81" spans="3:7">
      <c r="C81" s="5">
        <f>Track_Profile!C89</f>
        <v>77</v>
      </c>
      <c r="D81" s="5">
        <f>Track_Profile!I89</f>
        <v>800</v>
      </c>
      <c r="E81" s="5">
        <f t="shared" si="3"/>
        <v>1182.588</v>
      </c>
      <c r="F81" s="5">
        <f>Track_Profile!M89</f>
        <v>1.6363595692067416</v>
      </c>
      <c r="G81" s="5">
        <f t="shared" si="2"/>
        <v>0.53753866395251726</v>
      </c>
    </row>
    <row r="82" spans="3:7">
      <c r="C82" s="5">
        <f>Track_Profile!C90</f>
        <v>78</v>
      </c>
      <c r="D82" s="5">
        <f>Track_Profile!I90</f>
        <v>800</v>
      </c>
      <c r="E82" s="5">
        <f t="shared" si="3"/>
        <v>1182.588</v>
      </c>
      <c r="F82" s="5">
        <f>Track_Profile!M90</f>
        <v>1.5652135009803616</v>
      </c>
      <c r="G82" s="5">
        <f t="shared" si="2"/>
        <v>0.51416741769371221</v>
      </c>
    </row>
    <row r="83" spans="3:7">
      <c r="C83" s="5">
        <f>Track_Profile!C91</f>
        <v>79</v>
      </c>
      <c r="D83" s="5">
        <f>Track_Profile!I91</f>
        <v>800</v>
      </c>
      <c r="E83" s="5">
        <f t="shared" si="3"/>
        <v>1182.588</v>
      </c>
      <c r="F83" s="5">
        <f>Track_Profile!M91</f>
        <v>1.4999962717728463</v>
      </c>
      <c r="G83" s="5">
        <f t="shared" si="2"/>
        <v>0.4927437752898074</v>
      </c>
    </row>
    <row r="84" spans="3:7">
      <c r="C84" s="5">
        <f>Track_Profile!C92</f>
        <v>80</v>
      </c>
      <c r="D84" s="5">
        <f>Track_Profile!I92</f>
        <v>800</v>
      </c>
      <c r="E84" s="5">
        <f t="shared" si="3"/>
        <v>1182.588</v>
      </c>
      <c r="F84" s="5">
        <f>Track_Profile!M92</f>
        <v>15.652135009803617</v>
      </c>
      <c r="G84" s="5">
        <f t="shared" si="2"/>
        <v>5.1416741769371219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B667-2969-8C49-A80A-D2B0FFFE945A}">
  <dimension ref="A1:O85"/>
  <sheetViews>
    <sheetView topLeftCell="E33" zoomScale="106" workbookViewId="0">
      <selection activeCell="N5" sqref="N5"/>
    </sheetView>
  </sheetViews>
  <sheetFormatPr defaultColWidth="10.796875" defaultRowHeight="15"/>
  <cols>
    <col min="1" max="1" width="10.796875" style="3"/>
    <col min="2" max="2" width="25.19921875" style="3" customWidth="1"/>
    <col min="3" max="3" width="21.5" style="3" customWidth="1"/>
    <col min="4" max="4" width="25" style="3" customWidth="1"/>
    <col min="5" max="5" width="25.19921875" style="3" customWidth="1"/>
    <col min="6" max="6" width="13.5" style="3" bestFit="1" customWidth="1"/>
    <col min="7" max="7" width="13.69921875" style="3" bestFit="1" customWidth="1"/>
    <col min="8" max="8" width="14.19921875" style="52" customWidth="1"/>
    <col min="9" max="9" width="10.796875" style="3"/>
    <col min="10" max="10" width="20.69921875" style="3" customWidth="1"/>
    <col min="11" max="12" width="10.796875" style="3"/>
    <col min="13" max="13" width="19" style="3" customWidth="1"/>
    <col min="14" max="16384" width="10.796875" style="3"/>
  </cols>
  <sheetData>
    <row r="1" spans="1:15" ht="15.6">
      <c r="A1" s="1"/>
      <c r="B1" s="1"/>
      <c r="C1" s="1"/>
      <c r="D1" s="1"/>
      <c r="E1" s="1"/>
      <c r="F1" s="2"/>
    </row>
    <row r="5" spans="1:15" ht="15.6">
      <c r="C5" s="39" t="s">
        <v>45</v>
      </c>
      <c r="D5" s="39" t="s">
        <v>64</v>
      </c>
      <c r="E5" s="39" t="s">
        <v>65</v>
      </c>
      <c r="F5" s="39" t="s">
        <v>66</v>
      </c>
      <c r="G5" s="39" t="s">
        <v>67</v>
      </c>
      <c r="H5" s="53" t="s">
        <v>70</v>
      </c>
      <c r="L5" s="34" t="s">
        <v>69</v>
      </c>
      <c r="M5" s="34"/>
      <c r="N5" s="3">
        <f>SUM(F6:F85)</f>
        <v>-238.70499375074087</v>
      </c>
      <c r="O5" s="3" t="s">
        <v>21</v>
      </c>
    </row>
    <row r="6" spans="1:15">
      <c r="C6" s="5">
        <f>Track_Profile!C13</f>
        <v>1</v>
      </c>
      <c r="D6" s="5">
        <f>(Energy_Model!H6*Energy_Model!I6)/3600</f>
        <v>7.9970176395024977</v>
      </c>
      <c r="E6" s="5">
        <f>Solar_Model!G5</f>
        <v>5.2033742670603678</v>
      </c>
      <c r="F6" s="5">
        <f>E6-D6</f>
        <v>-2.7936433724421299</v>
      </c>
      <c r="G6" s="5">
        <f>'Inputs Fijos'!D11+F6</f>
        <v>5397.2063566275583</v>
      </c>
      <c r="H6" s="55">
        <f>G6/5400</f>
        <v>0.99948265863473307</v>
      </c>
      <c r="L6" s="34" t="s">
        <v>71</v>
      </c>
      <c r="M6" s="34"/>
      <c r="N6" s="54">
        <f>H85</f>
        <v>0.95579537152764038</v>
      </c>
    </row>
    <row r="7" spans="1:15">
      <c r="C7" s="5">
        <f>Track_Profile!C14</f>
        <v>2</v>
      </c>
      <c r="D7" s="5">
        <f>(Energy_Model!H7*Energy_Model!I7)/3600</f>
        <v>1.3749706901560776</v>
      </c>
      <c r="E7" s="5">
        <f>Solar_Model!G6</f>
        <v>0.45484040795982233</v>
      </c>
      <c r="F7" s="5">
        <f t="shared" ref="F7:F70" si="0">E7-D7</f>
        <v>-0.92013028219625537</v>
      </c>
      <c r="G7" s="5">
        <f>G6+F7</f>
        <v>5396.2862263453617</v>
      </c>
      <c r="H7" s="55">
        <f t="shared" ref="H7:H70" si="1">G7/5400</f>
        <v>0.99931226413802998</v>
      </c>
    </row>
    <row r="8" spans="1:15">
      <c r="C8" s="5">
        <f>Track_Profile!C15</f>
        <v>3</v>
      </c>
      <c r="D8" s="5">
        <f>(Energy_Model!H8*Energy_Model!I8)/3600</f>
        <v>1.030345050543825</v>
      </c>
      <c r="E8" s="5">
        <f>Solar_Model!G7</f>
        <v>0.43799446692427341</v>
      </c>
      <c r="F8" s="5">
        <f t="shared" si="0"/>
        <v>-0.59235058361955151</v>
      </c>
      <c r="G8" s="5">
        <f t="shared" ref="G8:G71" si="2">G7+F8</f>
        <v>5395.6938757617418</v>
      </c>
      <c r="H8" s="55">
        <f t="shared" si="1"/>
        <v>0.99920256958550768</v>
      </c>
    </row>
    <row r="9" spans="1:15">
      <c r="C9" s="5">
        <f>Track_Profile!C16</f>
        <v>4</v>
      </c>
      <c r="D9" s="5">
        <f>(Energy_Model!H9*Energy_Model!I9)/3600</f>
        <v>2.6599443444815329</v>
      </c>
      <c r="E9" s="5">
        <f>Solar_Model!G8</f>
        <v>1.2670554221737906</v>
      </c>
      <c r="F9" s="5">
        <f t="shared" si="0"/>
        <v>-1.3928889223077423</v>
      </c>
      <c r="G9" s="5">
        <f t="shared" si="2"/>
        <v>5394.3009868394338</v>
      </c>
      <c r="H9" s="55">
        <f t="shared" si="1"/>
        <v>0.99894462719248778</v>
      </c>
    </row>
    <row r="10" spans="1:15">
      <c r="C10" s="5">
        <f>Track_Profile!C17</f>
        <v>5</v>
      </c>
      <c r="D10" s="5">
        <f>(Energy_Model!H10*Energy_Model!I10)/3600</f>
        <v>1.142800454684936</v>
      </c>
      <c r="E10" s="5">
        <f>Solar_Model!G9</f>
        <v>0.4077879519639786</v>
      </c>
      <c r="F10" s="5">
        <f t="shared" si="0"/>
        <v>-0.73501250272095731</v>
      </c>
      <c r="G10" s="5">
        <f t="shared" si="2"/>
        <v>5393.5659743367132</v>
      </c>
      <c r="H10" s="55">
        <f t="shared" si="1"/>
        <v>0.99880851376605806</v>
      </c>
    </row>
    <row r="11" spans="1:15">
      <c r="C11" s="5">
        <f>Track_Profile!C18</f>
        <v>6</v>
      </c>
      <c r="D11" s="5">
        <f>(Energy_Model!H11*Energy_Model!I11)/3600</f>
        <v>1.3417210263637358</v>
      </c>
      <c r="E11" s="5">
        <f>Solar_Model!G10</f>
        <v>0.4077879519639786</v>
      </c>
      <c r="F11" s="5">
        <f t="shared" si="0"/>
        <v>-0.93393307439975715</v>
      </c>
      <c r="G11" s="5">
        <f t="shared" si="2"/>
        <v>5392.6320412623136</v>
      </c>
      <c r="H11" s="55">
        <f t="shared" si="1"/>
        <v>0.99863556319672475</v>
      </c>
    </row>
    <row r="12" spans="1:15">
      <c r="C12" s="5">
        <f>Track_Profile!C19</f>
        <v>7</v>
      </c>
      <c r="D12" s="5">
        <f>(Energy_Model!H12*Energy_Model!I12)/3600</f>
        <v>1.7395621697213359</v>
      </c>
      <c r="E12" s="5">
        <f>Solar_Model!G11</f>
        <v>0.4077879519639786</v>
      </c>
      <c r="F12" s="5">
        <f t="shared" si="0"/>
        <v>-1.3317742177573573</v>
      </c>
      <c r="G12" s="5">
        <f t="shared" si="2"/>
        <v>5391.3002670445558</v>
      </c>
      <c r="H12" s="55">
        <f t="shared" si="1"/>
        <v>0.99838893834158438</v>
      </c>
    </row>
    <row r="13" spans="1:15">
      <c r="C13" s="5">
        <f>Track_Profile!C20</f>
        <v>8</v>
      </c>
      <c r="D13" s="5">
        <f>(Energy_Model!H13*Energy_Model!I13)/3600</f>
        <v>1.4009609267595</v>
      </c>
      <c r="E13" s="5">
        <f>Solar_Model!G12</f>
        <v>0.39419502023184605</v>
      </c>
      <c r="F13" s="5">
        <f t="shared" si="0"/>
        <v>-1.006765906527654</v>
      </c>
      <c r="G13" s="5">
        <f t="shared" si="2"/>
        <v>5390.2935011380278</v>
      </c>
      <c r="H13" s="55">
        <f t="shared" si="1"/>
        <v>0.99820250021074586</v>
      </c>
    </row>
    <row r="14" spans="1:15">
      <c r="C14" s="5">
        <f>Track_Profile!C21</f>
        <v>9</v>
      </c>
      <c r="D14" s="5">
        <f>(Energy_Model!H14*Energy_Model!I14)/3600</f>
        <v>1.0643678160144694</v>
      </c>
      <c r="E14" s="5">
        <f>Solar_Model!G13</f>
        <v>0.38147905183727032</v>
      </c>
      <c r="F14" s="5">
        <f t="shared" si="0"/>
        <v>-0.68288876417719901</v>
      </c>
      <c r="G14" s="5">
        <f t="shared" si="2"/>
        <v>5389.6106123738509</v>
      </c>
      <c r="H14" s="55">
        <f t="shared" si="1"/>
        <v>0.99807603932849087</v>
      </c>
    </row>
    <row r="15" spans="1:15">
      <c r="C15" s="5">
        <f>Track_Profile!C22</f>
        <v>10</v>
      </c>
      <c r="D15" s="5">
        <f>(Energy_Model!H15*Energy_Model!I15)/3600</f>
        <v>1.2020403550807</v>
      </c>
      <c r="E15" s="5">
        <f>Solar_Model!G14</f>
        <v>0.39419502023184605</v>
      </c>
      <c r="F15" s="5">
        <f t="shared" si="0"/>
        <v>-0.8078453348488539</v>
      </c>
      <c r="G15" s="5">
        <f t="shared" si="2"/>
        <v>5388.802767039002</v>
      </c>
      <c r="H15" s="55">
        <f t="shared" si="1"/>
        <v>0.99792643834055594</v>
      </c>
    </row>
    <row r="16" spans="1:15">
      <c r="C16" s="5">
        <f>Track_Profile!C23</f>
        <v>11</v>
      </c>
      <c r="D16" s="5">
        <f>(Energy_Model!H16*Energy_Model!I16)/3600</f>
        <v>0.83142447886502513</v>
      </c>
      <c r="E16" s="5">
        <f>Solar_Model!G15</f>
        <v>0.43799446692427341</v>
      </c>
      <c r="F16" s="5">
        <f t="shared" si="0"/>
        <v>-0.39343001194075172</v>
      </c>
      <c r="G16" s="5">
        <f t="shared" si="2"/>
        <v>5388.4093370270612</v>
      </c>
      <c r="H16" s="55">
        <f t="shared" si="1"/>
        <v>0.99785358093093723</v>
      </c>
    </row>
    <row r="17" spans="3:8">
      <c r="C17" s="5">
        <f>Track_Profile!C24</f>
        <v>12</v>
      </c>
      <c r="D17" s="5">
        <f>(Energy_Model!H17*Energy_Model!I17)/3600</f>
        <v>2.7499413803121553</v>
      </c>
      <c r="E17" s="5">
        <f>Solar_Model!G16</f>
        <v>0.90968081591964467</v>
      </c>
      <c r="F17" s="5">
        <f t="shared" si="0"/>
        <v>-1.8402605643925107</v>
      </c>
      <c r="G17" s="5">
        <f t="shared" si="2"/>
        <v>5386.5690764626688</v>
      </c>
      <c r="H17" s="55">
        <f t="shared" si="1"/>
        <v>0.99751279193753128</v>
      </c>
    </row>
    <row r="18" spans="3:8">
      <c r="C18" s="5">
        <f>Track_Profile!C25</f>
        <v>13</v>
      </c>
      <c r="D18" s="5">
        <f>(Energy_Model!H18*Energy_Model!I18)/3600</f>
        <v>0.80419921172309994</v>
      </c>
      <c r="E18" s="5">
        <f>Solar_Model!G17</f>
        <v>0.39419502023184605</v>
      </c>
      <c r="F18" s="5">
        <f t="shared" si="0"/>
        <v>-0.41000419149125389</v>
      </c>
      <c r="G18" s="5">
        <f t="shared" si="2"/>
        <v>5386.1590722711771</v>
      </c>
      <c r="H18" s="55">
        <f t="shared" si="1"/>
        <v>0.9974368652354032</v>
      </c>
    </row>
    <row r="19" spans="3:8">
      <c r="C19" s="5">
        <f>Track_Profile!C26</f>
        <v>14</v>
      </c>
      <c r="D19" s="5">
        <f>(Energy_Model!H19*Energy_Model!I19)/3600</f>
        <v>0.53086226580744456</v>
      </c>
      <c r="E19" s="5">
        <f>Solar_Model!G18</f>
        <v>0.36955783146735566</v>
      </c>
      <c r="F19" s="5">
        <f t="shared" si="0"/>
        <v>-0.1613044343400889</v>
      </c>
      <c r="G19" s="5">
        <f t="shared" si="2"/>
        <v>5385.9977678368368</v>
      </c>
      <c r="H19" s="55">
        <f t="shared" si="1"/>
        <v>0.99740699404385869</v>
      </c>
    </row>
    <row r="20" spans="3:8">
      <c r="C20" s="5">
        <f>Track_Profile!C27</f>
        <v>15</v>
      </c>
      <c r="D20" s="5">
        <f>(Energy_Model!H20*Energy_Model!I20)/3600</f>
        <v>0.92870340916504446</v>
      </c>
      <c r="E20" s="5">
        <f>Solar_Model!G19</f>
        <v>0.36955783146735566</v>
      </c>
      <c r="F20" s="5">
        <f t="shared" si="0"/>
        <v>-0.5591455776976888</v>
      </c>
      <c r="G20" s="5">
        <f t="shared" si="2"/>
        <v>5385.4386222591393</v>
      </c>
      <c r="H20" s="55">
        <f t="shared" si="1"/>
        <v>0.99730344856650732</v>
      </c>
    </row>
    <row r="21" spans="3:8">
      <c r="C21" s="5">
        <f>Track_Profile!C28</f>
        <v>16</v>
      </c>
      <c r="D21" s="5">
        <f>(Energy_Model!H21*Energy_Model!I21)/3600</f>
        <v>2.5203214143060215</v>
      </c>
      <c r="E21" s="5">
        <f>Solar_Model!G20</f>
        <v>0.69563827099737519</v>
      </c>
      <c r="F21" s="5">
        <f t="shared" si="0"/>
        <v>-1.8246831433086463</v>
      </c>
      <c r="G21" s="5">
        <f t="shared" si="2"/>
        <v>5383.6139391158304</v>
      </c>
      <c r="H21" s="55">
        <f t="shared" si="1"/>
        <v>0.99696554428070938</v>
      </c>
    </row>
    <row r="22" spans="3:8">
      <c r="C22" s="5">
        <f>Track_Profile!C29</f>
        <v>17</v>
      </c>
      <c r="D22" s="5">
        <f>(Energy_Model!H22*Energy_Model!I22)/3600</f>
        <v>5.014444094858999</v>
      </c>
      <c r="E22" s="5">
        <f>Solar_Model!G21</f>
        <v>1.6424792509660249</v>
      </c>
      <c r="F22" s="5">
        <f t="shared" si="0"/>
        <v>-3.3719648438929744</v>
      </c>
      <c r="G22" s="5">
        <f t="shared" si="2"/>
        <v>5380.2419742719376</v>
      </c>
      <c r="H22" s="55">
        <f t="shared" si="1"/>
        <v>0.99634110634665507</v>
      </c>
    </row>
    <row r="23" spans="3:8">
      <c r="C23" s="5">
        <f>Track_Profile!C30</f>
        <v>18</v>
      </c>
      <c r="D23" s="5">
        <f>(Energy_Model!H23*Energy_Model!I23)/3600</f>
        <v>1.0612401354742109</v>
      </c>
      <c r="E23" s="5">
        <f>Solar_Model!G22</f>
        <v>0.34781913549868759</v>
      </c>
      <c r="F23" s="5">
        <f t="shared" si="0"/>
        <v>-0.71342099997552333</v>
      </c>
      <c r="G23" s="5">
        <f t="shared" si="2"/>
        <v>5379.5285532719618</v>
      </c>
      <c r="H23" s="55">
        <f t="shared" si="1"/>
        <v>0.99620899134665963</v>
      </c>
    </row>
    <row r="24" spans="3:8">
      <c r="C24" s="5">
        <f>Track_Profile!C31</f>
        <v>19</v>
      </c>
      <c r="D24" s="5">
        <f>(Energy_Model!H24*Energy_Model!I24)/3600</f>
        <v>12.394653970984086</v>
      </c>
      <c r="E24" s="5">
        <f>Solar_Model!G23</f>
        <v>2.4896527593590272</v>
      </c>
      <c r="F24" s="5">
        <f t="shared" si="0"/>
        <v>-9.9050012116250592</v>
      </c>
      <c r="G24" s="5">
        <f t="shared" si="2"/>
        <v>5369.6235520603368</v>
      </c>
      <c r="H24" s="55">
        <f t="shared" si="1"/>
        <v>0.99437473186302539</v>
      </c>
    </row>
    <row r="25" spans="3:8">
      <c r="C25" s="5">
        <f>Track_Profile!C32</f>
        <v>20</v>
      </c>
      <c r="D25" s="5">
        <f>(Energy_Model!H25*Energy_Model!I25)/3600</f>
        <v>1.4007299623293996</v>
      </c>
      <c r="E25" s="5">
        <f>Solar_Model!G24</f>
        <v>0.32849585019320493</v>
      </c>
      <c r="F25" s="5">
        <f t="shared" si="0"/>
        <v>-1.0722341121361947</v>
      </c>
      <c r="G25" s="5">
        <f t="shared" si="2"/>
        <v>5368.5513179482004</v>
      </c>
      <c r="H25" s="55">
        <f t="shared" si="1"/>
        <v>0.99417616999040748</v>
      </c>
    </row>
    <row r="26" spans="3:8">
      <c r="C26" s="5">
        <f>Track_Profile!C33</f>
        <v>21</v>
      </c>
      <c r="D26" s="5">
        <f>(Energy_Model!H26*Energy_Model!I26)/3600</f>
        <v>1.7243856958802444</v>
      </c>
      <c r="E26" s="5">
        <f>Solar_Model!G25</f>
        <v>0.36955783146735566</v>
      </c>
      <c r="F26" s="5">
        <f t="shared" si="0"/>
        <v>-1.3548278644128886</v>
      </c>
      <c r="G26" s="5">
        <f t="shared" si="2"/>
        <v>5367.1964900837875</v>
      </c>
      <c r="H26" s="55">
        <f t="shared" si="1"/>
        <v>0.99392527594144209</v>
      </c>
    </row>
    <row r="27" spans="3:8">
      <c r="C27" s="5">
        <f>Track_Profile!C34</f>
        <v>22</v>
      </c>
      <c r="D27" s="5">
        <f>(Energy_Model!H27*Energy_Model!I27)/3600</f>
        <v>1.5254651242014445</v>
      </c>
      <c r="E27" s="5">
        <f>Solar_Model!G26</f>
        <v>0.36955783146735566</v>
      </c>
      <c r="F27" s="5">
        <f t="shared" si="0"/>
        <v>-1.155907292734089</v>
      </c>
      <c r="G27" s="5">
        <f t="shared" si="2"/>
        <v>5366.0405827910536</v>
      </c>
      <c r="H27" s="55">
        <f t="shared" si="1"/>
        <v>0.99371121903538029</v>
      </c>
    </row>
    <row r="28" spans="3:8">
      <c r="C28" s="5">
        <f>Track_Profile!C35</f>
        <v>23</v>
      </c>
      <c r="D28" s="5">
        <f>(Energy_Model!H28*Energy_Model!I28)/3600</f>
        <v>1.2601607071530108</v>
      </c>
      <c r="E28" s="5">
        <f>Solar_Model!G27</f>
        <v>0.34781913549868759</v>
      </c>
      <c r="F28" s="5">
        <f t="shared" si="0"/>
        <v>-0.91234157165432317</v>
      </c>
      <c r="G28" s="5">
        <f t="shared" si="2"/>
        <v>5365.1282412193996</v>
      </c>
      <c r="H28" s="55">
        <f t="shared" si="1"/>
        <v>0.99354226689248137</v>
      </c>
    </row>
    <row r="29" spans="3:8">
      <c r="C29" s="5">
        <f>Track_Profile!C36</f>
        <v>24</v>
      </c>
      <c r="D29" s="5">
        <f>(Energy_Model!H29*Energy_Model!I29)/3600</f>
        <v>2.0057776379435999</v>
      </c>
      <c r="E29" s="5">
        <f>Solar_Model!G28</f>
        <v>0.65699170038640986</v>
      </c>
      <c r="F29" s="5">
        <f t="shared" si="0"/>
        <v>-1.34878593755719</v>
      </c>
      <c r="G29" s="5">
        <f t="shared" si="2"/>
        <v>5363.7794552818423</v>
      </c>
      <c r="H29" s="55">
        <f t="shared" si="1"/>
        <v>0.99329249171885969</v>
      </c>
    </row>
    <row r="30" spans="3:8">
      <c r="C30" s="5">
        <f>Track_Profile!C37</f>
        <v>25</v>
      </c>
      <c r="D30" s="5">
        <f>(Energy_Model!H30*Energy_Model!I30)/3600</f>
        <v>21.690644449222155</v>
      </c>
      <c r="E30" s="5">
        <f>Solar_Model!G29</f>
        <v>4.3568923288782981</v>
      </c>
      <c r="F30" s="5">
        <f t="shared" si="0"/>
        <v>-17.333752120343856</v>
      </c>
      <c r="G30" s="5">
        <f t="shared" si="2"/>
        <v>5346.4457031614984</v>
      </c>
      <c r="H30" s="55">
        <f t="shared" si="1"/>
        <v>0.99008253762249965</v>
      </c>
    </row>
    <row r="31" spans="3:8">
      <c r="C31" s="5">
        <f>Track_Profile!C38</f>
        <v>26</v>
      </c>
      <c r="D31" s="5">
        <f>(Energy_Model!H31*Energy_Model!I31)/3600</f>
        <v>7.9798330334446002</v>
      </c>
      <c r="E31" s="5">
        <f>Solar_Model!G30</f>
        <v>3.8011662665213719</v>
      </c>
      <c r="F31" s="5">
        <f t="shared" si="0"/>
        <v>-4.1786667669232287</v>
      </c>
      <c r="G31" s="5">
        <f t="shared" si="2"/>
        <v>5342.2670363945754</v>
      </c>
      <c r="H31" s="55">
        <f t="shared" si="1"/>
        <v>0.98930871044343993</v>
      </c>
    </row>
    <row r="32" spans="3:8">
      <c r="C32" s="5">
        <f>Track_Profile!C39</f>
        <v>27</v>
      </c>
      <c r="D32" s="5">
        <f>(Energy_Model!H32*Energy_Model!I32)/3600</f>
        <v>27.887971434714199</v>
      </c>
      <c r="E32" s="5">
        <f>Solar_Model!G31</f>
        <v>5.6017187085578115</v>
      </c>
      <c r="F32" s="5">
        <f t="shared" si="0"/>
        <v>-22.286252726156388</v>
      </c>
      <c r="G32" s="5">
        <f t="shared" si="2"/>
        <v>5319.9807836684186</v>
      </c>
      <c r="H32" s="55">
        <f t="shared" si="1"/>
        <v>0.98518162660526265</v>
      </c>
    </row>
    <row r="33" spans="3:8">
      <c r="C33" s="5">
        <f>Track_Profile!C40</f>
        <v>28</v>
      </c>
      <c r="D33" s="5">
        <f>(Energy_Model!H33*Energy_Model!I33)/3600</f>
        <v>8.8664811482717774</v>
      </c>
      <c r="E33" s="5">
        <f>Solar_Model!G32</f>
        <v>4.2235180739126355</v>
      </c>
      <c r="F33" s="5">
        <f t="shared" si="0"/>
        <v>-4.6429630743591419</v>
      </c>
      <c r="G33" s="5">
        <f t="shared" si="2"/>
        <v>5315.3378205940598</v>
      </c>
      <c r="H33" s="55">
        <f t="shared" si="1"/>
        <v>0.98432181862852963</v>
      </c>
    </row>
    <row r="34" spans="3:8">
      <c r="C34" s="5">
        <f>Track_Profile!C41</f>
        <v>29</v>
      </c>
      <c r="D34" s="5">
        <f>(Energy_Model!H34*Energy_Model!I34)/3600</f>
        <v>7.9798330334446002</v>
      </c>
      <c r="E34" s="5">
        <f>Solar_Model!G33</f>
        <v>3.8011662665213719</v>
      </c>
      <c r="F34" s="5">
        <f t="shared" si="0"/>
        <v>-4.1786667669232287</v>
      </c>
      <c r="G34" s="5">
        <f t="shared" si="2"/>
        <v>5311.1591538271368</v>
      </c>
      <c r="H34" s="55">
        <f t="shared" si="1"/>
        <v>0.98354799144946981</v>
      </c>
    </row>
    <row r="35" spans="3:8">
      <c r="C35" s="5">
        <f>Track_Profile!C42</f>
        <v>30</v>
      </c>
      <c r="D35" s="5">
        <f>(Energy_Model!H35*Energy_Model!I35)/3600</f>
        <v>11.276239808438444</v>
      </c>
      <c r="E35" s="5">
        <f>Solar_Model!G34</f>
        <v>3.6955783146735559</v>
      </c>
      <c r="F35" s="5">
        <f t="shared" si="0"/>
        <v>-7.5806614937648877</v>
      </c>
      <c r="G35" s="5">
        <f t="shared" si="2"/>
        <v>5303.5784923333722</v>
      </c>
      <c r="H35" s="55">
        <f t="shared" si="1"/>
        <v>0.98214416524692083</v>
      </c>
    </row>
    <row r="36" spans="3:8">
      <c r="C36" s="5">
        <f>Track_Profile!C43</f>
        <v>31</v>
      </c>
      <c r="D36" s="5">
        <f>(Energy_Model!H36*Energy_Model!I36)/3600</f>
        <v>6.2065368037902449</v>
      </c>
      <c r="E36" s="5">
        <f>Solar_Model!G35</f>
        <v>2.9564626517388453</v>
      </c>
      <c r="F36" s="5">
        <f t="shared" si="0"/>
        <v>-3.2500741520513996</v>
      </c>
      <c r="G36" s="5">
        <f t="shared" si="2"/>
        <v>5300.3284181813206</v>
      </c>
      <c r="H36" s="55">
        <f t="shared" si="1"/>
        <v>0.9815422996632075</v>
      </c>
    </row>
    <row r="37" spans="3:8">
      <c r="C37" s="5">
        <f>Track_Profile!C44</f>
        <v>32</v>
      </c>
      <c r="D37" s="5">
        <f>(Energy_Model!H37*Energy_Model!I37)/3600</f>
        <v>21.690644449222155</v>
      </c>
      <c r="E37" s="5">
        <f>Solar_Model!G36</f>
        <v>4.3568923288782981</v>
      </c>
      <c r="F37" s="5">
        <f t="shared" si="0"/>
        <v>-17.333752120343856</v>
      </c>
      <c r="G37" s="5">
        <f t="shared" si="2"/>
        <v>5282.9946660609767</v>
      </c>
      <c r="H37" s="55">
        <f t="shared" si="1"/>
        <v>0.97833234556684756</v>
      </c>
    </row>
    <row r="38" spans="3:8">
      <c r="C38" s="5">
        <f>Track_Profile!C45</f>
        <v>33</v>
      </c>
      <c r="D38" s="5">
        <f>(Energy_Model!H38*Energy_Model!I38)/3600</f>
        <v>6.2065368037902449</v>
      </c>
      <c r="E38" s="5">
        <f>Solar_Model!G37</f>
        <v>2.9564626517388453</v>
      </c>
      <c r="F38" s="5">
        <f t="shared" si="0"/>
        <v>-3.2500741520513996</v>
      </c>
      <c r="G38" s="5">
        <f t="shared" si="2"/>
        <v>5279.744591908925</v>
      </c>
      <c r="H38" s="55">
        <f t="shared" si="1"/>
        <v>0.97773047998313423</v>
      </c>
    </row>
    <row r="39" spans="3:8">
      <c r="C39" s="5">
        <f>Track_Profile!C46</f>
        <v>34</v>
      </c>
      <c r="D39" s="5">
        <f>(Energy_Model!H39*Energy_Model!I39)/3600</f>
        <v>5.3198886889630659</v>
      </c>
      <c r="E39" s="5">
        <f>Solar_Model!G38</f>
        <v>2.5341108443475813</v>
      </c>
      <c r="F39" s="5">
        <f t="shared" si="0"/>
        <v>-2.7857778446154846</v>
      </c>
      <c r="G39" s="5">
        <f t="shared" si="2"/>
        <v>5276.95881406431</v>
      </c>
      <c r="H39" s="55">
        <f t="shared" si="1"/>
        <v>0.97721459519709442</v>
      </c>
    </row>
    <row r="40" spans="3:8">
      <c r="C40" s="5">
        <f>Track_Profile!C47</f>
        <v>35</v>
      </c>
      <c r="D40" s="5">
        <f>(Energy_Model!H40*Energy_Model!I40)/3600</f>
        <v>9.8051097363058002</v>
      </c>
      <c r="E40" s="5">
        <f>Solar_Model!G39</f>
        <v>2.2994709513524354</v>
      </c>
      <c r="F40" s="5">
        <f t="shared" si="0"/>
        <v>-7.5056387849533648</v>
      </c>
      <c r="G40" s="5">
        <f t="shared" si="2"/>
        <v>5269.4531752793564</v>
      </c>
      <c r="H40" s="55">
        <f t="shared" si="1"/>
        <v>0.97582466208876972</v>
      </c>
    </row>
    <row r="41" spans="3:8">
      <c r="C41" s="5">
        <f>Track_Profile!C48</f>
        <v>36</v>
      </c>
      <c r="D41" s="5">
        <f>(Energy_Model!H41*Energy_Model!I41)/3600</f>
        <v>1.459081278831811</v>
      </c>
      <c r="E41" s="5">
        <f>Solar_Model!G40</f>
        <v>0.34781913549868759</v>
      </c>
      <c r="F41" s="5">
        <f t="shared" si="0"/>
        <v>-1.1112621433331236</v>
      </c>
      <c r="G41" s="5">
        <f t="shared" si="2"/>
        <v>5268.3419131360233</v>
      </c>
      <c r="H41" s="55">
        <f t="shared" si="1"/>
        <v>0.97561887280296733</v>
      </c>
    </row>
    <row r="42" spans="3:8">
      <c r="C42" s="5">
        <f>Track_Profile!C49</f>
        <v>37</v>
      </c>
      <c r="D42" s="5">
        <f>(Energy_Model!H42*Energy_Model!I42)/3600</f>
        <v>4.5763953726043329</v>
      </c>
      <c r="E42" s="5">
        <f>Solar_Model!G41</f>
        <v>1.1086734944020669</v>
      </c>
      <c r="F42" s="5">
        <f t="shared" si="0"/>
        <v>-3.4677218782022661</v>
      </c>
      <c r="G42" s="5">
        <f t="shared" si="2"/>
        <v>5264.8741912578207</v>
      </c>
      <c r="H42" s="55">
        <f t="shared" si="1"/>
        <v>0.9749767020847816</v>
      </c>
    </row>
    <row r="43" spans="3:8">
      <c r="C43" s="5">
        <f>Track_Profile!C50</f>
        <v>38</v>
      </c>
      <c r="D43" s="5">
        <f>(Energy_Model!H43*Energy_Model!I43)/3600</f>
        <v>1.5564179502393556</v>
      </c>
      <c r="E43" s="5">
        <f>Solar_Model!G42</f>
        <v>0.90968081591964467</v>
      </c>
      <c r="F43" s="5">
        <f t="shared" si="0"/>
        <v>-0.64673713431971092</v>
      </c>
      <c r="G43" s="5">
        <f t="shared" si="2"/>
        <v>5264.227454123501</v>
      </c>
      <c r="H43" s="55">
        <f t="shared" si="1"/>
        <v>0.97485693594879652</v>
      </c>
    </row>
    <row r="44" spans="3:8">
      <c r="C44" s="5">
        <f>Track_Profile!C51</f>
        <v>39</v>
      </c>
      <c r="D44" s="5">
        <f>(Energy_Model!H44*Energy_Model!I44)/3600</f>
        <v>1.3265445525226445</v>
      </c>
      <c r="E44" s="5">
        <f>Solar_Model!G43</f>
        <v>0.36955783146735566</v>
      </c>
      <c r="F44" s="5">
        <f t="shared" si="0"/>
        <v>-0.95698672105528881</v>
      </c>
      <c r="G44" s="5">
        <f t="shared" si="2"/>
        <v>5263.2704674024453</v>
      </c>
      <c r="H44" s="55">
        <f t="shared" si="1"/>
        <v>0.97467971618563798</v>
      </c>
    </row>
    <row r="45" spans="3:8">
      <c r="C45" s="5">
        <f>Track_Profile!C52</f>
        <v>40</v>
      </c>
      <c r="D45" s="5">
        <f>(Energy_Model!H45*Energy_Model!I45)/3600</f>
        <v>1.6823304015423775</v>
      </c>
      <c r="E45" s="5">
        <f>Solar_Model!G44</f>
        <v>0.42235180739126349</v>
      </c>
      <c r="F45" s="5">
        <f t="shared" si="0"/>
        <v>-1.2599785941511139</v>
      </c>
      <c r="G45" s="5">
        <f t="shared" si="2"/>
        <v>5262.0104888082942</v>
      </c>
      <c r="H45" s="55">
        <f t="shared" si="1"/>
        <v>0.97444638681635076</v>
      </c>
    </row>
    <row r="46" spans="3:8">
      <c r="C46" s="5">
        <f>Track_Profile!C53</f>
        <v>41</v>
      </c>
      <c r="D46" s="5">
        <f>(Energy_Model!H46*Energy_Model!I46)/3600</f>
        <v>1.3265445525226445</v>
      </c>
      <c r="E46" s="5">
        <f>Solar_Model!G45</f>
        <v>0.36955783146735566</v>
      </c>
      <c r="F46" s="5">
        <f t="shared" si="0"/>
        <v>-0.95698672105528881</v>
      </c>
      <c r="G46" s="5">
        <f t="shared" si="2"/>
        <v>5261.0535020872385</v>
      </c>
      <c r="H46" s="55">
        <f t="shared" si="1"/>
        <v>0.97426916705319233</v>
      </c>
    </row>
    <row r="47" spans="3:8">
      <c r="C47" s="5">
        <f>Track_Profile!C54</f>
        <v>42</v>
      </c>
      <c r="D47" s="5">
        <f>(Energy_Model!H47*Energy_Model!I47)/3600</f>
        <v>2.5203214143060215</v>
      </c>
      <c r="E47" s="5">
        <f>Solar_Model!G46</f>
        <v>0.69563827099737519</v>
      </c>
      <c r="F47" s="5">
        <f t="shared" si="0"/>
        <v>-1.8246831433086463</v>
      </c>
      <c r="G47" s="5">
        <f t="shared" si="2"/>
        <v>5259.2288189439296</v>
      </c>
      <c r="H47" s="55">
        <f t="shared" si="1"/>
        <v>0.97393126276739439</v>
      </c>
    </row>
    <row r="48" spans="3:8">
      <c r="C48" s="5">
        <f>Track_Profile!C55</f>
        <v>43</v>
      </c>
      <c r="D48" s="5">
        <f>(Energy_Model!H48*Energy_Model!I48)/3600</f>
        <v>13.9439857173571</v>
      </c>
      <c r="E48" s="5">
        <f>Solar_Model!G47</f>
        <v>2.8008593542789058</v>
      </c>
      <c r="F48" s="5">
        <f t="shared" si="0"/>
        <v>-11.143126363078194</v>
      </c>
      <c r="G48" s="5">
        <f t="shared" si="2"/>
        <v>5248.0856925808512</v>
      </c>
      <c r="H48" s="55">
        <f t="shared" si="1"/>
        <v>0.97186772084830575</v>
      </c>
    </row>
    <row r="49" spans="3:8">
      <c r="C49" s="5">
        <f>Track_Profile!C56</f>
        <v>44</v>
      </c>
      <c r="D49" s="5">
        <f>(Energy_Model!H49*Energy_Model!I49)/3600</f>
        <v>1.5072989193156219</v>
      </c>
      <c r="E49" s="5">
        <f>Solar_Model!G48</f>
        <v>0.6224131898397568</v>
      </c>
      <c r="F49" s="5">
        <f t="shared" si="0"/>
        <v>-0.88488572947586508</v>
      </c>
      <c r="G49" s="5">
        <f t="shared" si="2"/>
        <v>5247.2008068513751</v>
      </c>
      <c r="H49" s="55">
        <f t="shared" si="1"/>
        <v>0.97170385312062502</v>
      </c>
    </row>
    <row r="50" spans="3:8">
      <c r="C50" s="5">
        <f>Track_Profile!C57</f>
        <v>45</v>
      </c>
      <c r="D50" s="5">
        <f>(Energy_Model!H50*Energy_Model!I50)/3600</f>
        <v>27.887971434714199</v>
      </c>
      <c r="E50" s="5">
        <f>Solar_Model!G49</f>
        <v>5.6017187085578115</v>
      </c>
      <c r="F50" s="5">
        <f t="shared" si="0"/>
        <v>-22.286252726156388</v>
      </c>
      <c r="G50" s="5">
        <f t="shared" si="2"/>
        <v>5224.9145541252183</v>
      </c>
      <c r="H50" s="55">
        <f t="shared" si="1"/>
        <v>0.96757676928244785</v>
      </c>
    </row>
    <row r="51" spans="3:8">
      <c r="C51" s="5">
        <f>Track_Profile!C58</f>
        <v>46</v>
      </c>
      <c r="D51" s="5">
        <f>(Energy_Model!H51*Energy_Model!I51)/3600</f>
        <v>1.7243856958802444</v>
      </c>
      <c r="E51" s="5">
        <f>Solar_Model!G50</f>
        <v>0.36955783146735566</v>
      </c>
      <c r="F51" s="5">
        <f t="shared" si="0"/>
        <v>-1.3548278644128886</v>
      </c>
      <c r="G51" s="5">
        <f t="shared" si="2"/>
        <v>5223.5597262608053</v>
      </c>
      <c r="H51" s="55">
        <f t="shared" si="1"/>
        <v>0.96732587523348246</v>
      </c>
    </row>
    <row r="52" spans="3:8">
      <c r="C52" s="5">
        <f>Track_Profile!C59</f>
        <v>47</v>
      </c>
      <c r="D52" s="5">
        <f>(Energy_Model!H52*Energy_Model!I52)/3600</f>
        <v>2.9181625576636221</v>
      </c>
      <c r="E52" s="5">
        <f>Solar_Model!G51</f>
        <v>0.69563827099737519</v>
      </c>
      <c r="F52" s="5">
        <f t="shared" si="0"/>
        <v>-2.2225242866662471</v>
      </c>
      <c r="G52" s="5">
        <f t="shared" si="2"/>
        <v>5221.3372019741391</v>
      </c>
      <c r="H52" s="55">
        <f t="shared" si="1"/>
        <v>0.96691429666187767</v>
      </c>
    </row>
    <row r="53" spans="3:8">
      <c r="C53" s="5">
        <f>Track_Profile!C60</f>
        <v>48</v>
      </c>
      <c r="D53" s="5">
        <f>(Energy_Model!H53*Energy_Model!I53)/3600</f>
        <v>1.4007299623293996</v>
      </c>
      <c r="E53" s="5">
        <f>Solar_Model!G52</f>
        <v>0.32849585019320493</v>
      </c>
      <c r="F53" s="5">
        <f t="shared" si="0"/>
        <v>-1.0722341121361947</v>
      </c>
      <c r="G53" s="5">
        <f t="shared" si="2"/>
        <v>5220.2649678620028</v>
      </c>
      <c r="H53" s="55">
        <f t="shared" si="1"/>
        <v>0.96671573478925976</v>
      </c>
    </row>
    <row r="54" spans="3:8">
      <c r="C54" s="5">
        <f>Track_Profile!C61</f>
        <v>49</v>
      </c>
      <c r="D54" s="5">
        <f>(Energy_Model!H54*Energy_Model!I54)/3600</f>
        <v>8.8664811482717774</v>
      </c>
      <c r="E54" s="5">
        <f>Solar_Model!G53</f>
        <v>4.2235180739126355</v>
      </c>
      <c r="F54" s="5">
        <f t="shared" si="0"/>
        <v>-4.6429630743591419</v>
      </c>
      <c r="G54" s="5">
        <f t="shared" si="2"/>
        <v>5215.6220047876441</v>
      </c>
      <c r="H54" s="55">
        <f t="shared" si="1"/>
        <v>0.96585592681252663</v>
      </c>
    </row>
    <row r="55" spans="3:8">
      <c r="C55" s="5">
        <f>Track_Profile!C62</f>
        <v>50</v>
      </c>
      <c r="D55" s="5">
        <f>(Energy_Model!H55*Energy_Model!I55)/3600</f>
        <v>1.5493317463730107</v>
      </c>
      <c r="E55" s="5">
        <f>Solar_Model!G54</f>
        <v>0.3112065949198784</v>
      </c>
      <c r="F55" s="5">
        <f t="shared" si="0"/>
        <v>-1.2381251514531324</v>
      </c>
      <c r="G55" s="5">
        <f t="shared" si="2"/>
        <v>5214.3838796361906</v>
      </c>
      <c r="H55" s="55">
        <f t="shared" si="1"/>
        <v>0.96562664437707235</v>
      </c>
    </row>
    <row r="56" spans="3:8">
      <c r="C56" s="5">
        <f>Track_Profile!C63</f>
        <v>51</v>
      </c>
      <c r="D56" s="5">
        <f>(Energy_Model!H56*Energy_Model!I56)/3600</f>
        <v>1.5996505340081997</v>
      </c>
      <c r="E56" s="5">
        <f>Solar_Model!G55</f>
        <v>0.32849585019320493</v>
      </c>
      <c r="F56" s="5">
        <f t="shared" si="0"/>
        <v>-1.2711546838149947</v>
      </c>
      <c r="G56" s="5">
        <f t="shared" si="2"/>
        <v>5213.1127249523752</v>
      </c>
      <c r="H56" s="55">
        <f t="shared" si="1"/>
        <v>0.96539124536155096</v>
      </c>
    </row>
    <row r="57" spans="3:8">
      <c r="C57" s="5">
        <f>Track_Profile!C64</f>
        <v>52</v>
      </c>
      <c r="D57" s="5">
        <f>(Energy_Model!H57*Energy_Model!I57)/3600</f>
        <v>4.9740055515318327</v>
      </c>
      <c r="E57" s="5">
        <f>Solar_Model!G56</f>
        <v>1.0434574064960629</v>
      </c>
      <c r="F57" s="5">
        <f t="shared" si="0"/>
        <v>-3.93054814503577</v>
      </c>
      <c r="G57" s="5">
        <f t="shared" si="2"/>
        <v>5209.1821768073396</v>
      </c>
      <c r="H57" s="55">
        <f t="shared" si="1"/>
        <v>0.96466336607543324</v>
      </c>
    </row>
    <row r="58" spans="3:8">
      <c r="C58" s="5">
        <f>Track_Profile!C65</f>
        <v>53</v>
      </c>
      <c r="D58" s="5">
        <f>(Energy_Model!H58*Energy_Model!I58)/3600</f>
        <v>1.4007299623293996</v>
      </c>
      <c r="E58" s="5">
        <f>Solar_Model!G57</f>
        <v>0.32849585019320493</v>
      </c>
      <c r="F58" s="5">
        <f t="shared" si="0"/>
        <v>-1.0722341121361947</v>
      </c>
      <c r="G58" s="5">
        <f t="shared" si="2"/>
        <v>5208.1099426952032</v>
      </c>
      <c r="H58" s="55">
        <f t="shared" si="1"/>
        <v>0.96446480420281544</v>
      </c>
    </row>
    <row r="59" spans="3:8">
      <c r="C59" s="5">
        <f>Track_Profile!C66</f>
        <v>54</v>
      </c>
      <c r="D59" s="5">
        <f>(Energy_Model!H59*Energy_Model!I59)/3600</f>
        <v>1.9051400626732218</v>
      </c>
      <c r="E59" s="5">
        <f>Solar_Model!G58</f>
        <v>0.6224131898397568</v>
      </c>
      <c r="F59" s="5">
        <f t="shared" si="0"/>
        <v>-1.2827268728334649</v>
      </c>
      <c r="G59" s="5">
        <f t="shared" si="2"/>
        <v>5206.8272158223699</v>
      </c>
      <c r="H59" s="55">
        <f t="shared" si="1"/>
        <v>0.96422726218932775</v>
      </c>
    </row>
    <row r="60" spans="3:8">
      <c r="C60" s="5">
        <f>Track_Profile!C67</f>
        <v>55</v>
      </c>
      <c r="D60" s="5">
        <f>(Energy_Model!H60*Energy_Model!I60)/3600</f>
        <v>1.1514906030154108</v>
      </c>
      <c r="E60" s="5">
        <f>Solar_Model!G59</f>
        <v>0.3112065949198784</v>
      </c>
      <c r="F60" s="5">
        <f t="shared" si="0"/>
        <v>-0.8402840080955325</v>
      </c>
      <c r="G60" s="5">
        <f t="shared" si="2"/>
        <v>5205.9869318142746</v>
      </c>
      <c r="H60" s="55">
        <f t="shared" si="1"/>
        <v>0.96407165403968054</v>
      </c>
    </row>
    <row r="61" spans="3:8">
      <c r="C61" s="5">
        <f>Track_Profile!C68</f>
        <v>56</v>
      </c>
      <c r="D61" s="5">
        <f>(Energy_Model!H61*Energy_Model!I61)/3600</f>
        <v>1.2601607071530108</v>
      </c>
      <c r="E61" s="5">
        <f>Solar_Model!G60</f>
        <v>0.34781913549868759</v>
      </c>
      <c r="F61" s="5">
        <f t="shared" si="0"/>
        <v>-0.91234157165432317</v>
      </c>
      <c r="G61" s="5">
        <f t="shared" si="2"/>
        <v>5205.0745902426206</v>
      </c>
      <c r="H61" s="55">
        <f t="shared" si="1"/>
        <v>0.96390270189678162</v>
      </c>
    </row>
    <row r="62" spans="3:8">
      <c r="C62" s="5">
        <f>Track_Profile!C69</f>
        <v>57</v>
      </c>
      <c r="D62" s="5">
        <f>(Energy_Model!H62*Energy_Model!I62)/3600</f>
        <v>1.7272824119904027</v>
      </c>
      <c r="E62" s="5">
        <f>Solar_Model!G61</f>
        <v>0.33788144591301084</v>
      </c>
      <c r="F62" s="5">
        <f t="shared" si="0"/>
        <v>-1.3894009660773918</v>
      </c>
      <c r="G62" s="5">
        <f t="shared" si="2"/>
        <v>5203.6851892765435</v>
      </c>
      <c r="H62" s="55">
        <f t="shared" si="1"/>
        <v>0.96364540542158217</v>
      </c>
    </row>
    <row r="63" spans="3:8">
      <c r="C63" s="5">
        <f>Track_Profile!C70</f>
        <v>58</v>
      </c>
      <c r="D63" s="5">
        <f>(Energy_Model!H63*Energy_Model!I63)/3600</f>
        <v>10.081285657224086</v>
      </c>
      <c r="E63" s="5">
        <f>Solar_Model!G62</f>
        <v>2.7825530839895007</v>
      </c>
      <c r="F63" s="5">
        <f t="shared" si="0"/>
        <v>-7.2987325732345854</v>
      </c>
      <c r="G63" s="5">
        <f t="shared" si="2"/>
        <v>5196.3864567033088</v>
      </c>
      <c r="H63" s="55">
        <f t="shared" si="1"/>
        <v>0.96229378827839052</v>
      </c>
    </row>
    <row r="64" spans="3:8">
      <c r="C64" s="5">
        <f>Track_Profile!C71</f>
        <v>59</v>
      </c>
      <c r="D64" s="5">
        <f>(Energy_Model!H64*Energy_Model!I64)/3600</f>
        <v>1.5254651242014445</v>
      </c>
      <c r="E64" s="5">
        <f>Solar_Model!G63</f>
        <v>0.36955783146735566</v>
      </c>
      <c r="F64" s="5">
        <f t="shared" si="0"/>
        <v>-1.155907292734089</v>
      </c>
      <c r="G64" s="5">
        <f t="shared" si="2"/>
        <v>5195.2305494105749</v>
      </c>
      <c r="H64" s="55">
        <f t="shared" si="1"/>
        <v>0.96207973137232872</v>
      </c>
    </row>
    <row r="65" spans="3:8">
      <c r="C65" s="5">
        <f>Track_Profile!C72</f>
        <v>60</v>
      </c>
      <c r="D65" s="5">
        <f>(Energy_Model!H65*Energy_Model!I65)/3600</f>
        <v>0.86544724433566944</v>
      </c>
      <c r="E65" s="5">
        <f>Solar_Model!G64</f>
        <v>0.38147905183727032</v>
      </c>
      <c r="F65" s="5">
        <f t="shared" si="0"/>
        <v>-0.48396819249839912</v>
      </c>
      <c r="G65" s="5">
        <f t="shared" si="2"/>
        <v>5194.7465812180762</v>
      </c>
      <c r="H65" s="55">
        <f t="shared" si="1"/>
        <v>0.9619901076329771</v>
      </c>
    </row>
    <row r="66" spans="3:8">
      <c r="C66" s="5">
        <f>Track_Profile!C73</f>
        <v>61</v>
      </c>
      <c r="D66" s="5">
        <f>(Energy_Model!H66*Energy_Model!I66)/3600</f>
        <v>16.914359712657667</v>
      </c>
      <c r="E66" s="5">
        <f>Solar_Model!G65</f>
        <v>5.5433674720103339</v>
      </c>
      <c r="F66" s="5">
        <f t="shared" si="0"/>
        <v>-11.370992240647332</v>
      </c>
      <c r="G66" s="5">
        <f t="shared" si="2"/>
        <v>5183.3755889774293</v>
      </c>
      <c r="H66" s="55">
        <f t="shared" si="1"/>
        <v>0.95988436832915358</v>
      </c>
    </row>
    <row r="67" spans="3:8">
      <c r="C67" s="5">
        <f>Track_Profile!C74</f>
        <v>62</v>
      </c>
      <c r="D67" s="5">
        <f>(Energy_Model!H67*Energy_Model!I67)/3600</f>
        <v>1.3918088495688252</v>
      </c>
      <c r="E67" s="5">
        <f>Solar_Model!G66</f>
        <v>0.35835910930167819</v>
      </c>
      <c r="F67" s="5">
        <f t="shared" si="0"/>
        <v>-1.033449740267147</v>
      </c>
      <c r="G67" s="5">
        <f t="shared" si="2"/>
        <v>5182.342139237162</v>
      </c>
      <c r="H67" s="55">
        <f t="shared" si="1"/>
        <v>0.95969298874762254</v>
      </c>
    </row>
    <row r="68" spans="3:8">
      <c r="C68" s="5">
        <f>Track_Profile!C75</f>
        <v>63</v>
      </c>
      <c r="D68" s="5">
        <f>(Energy_Model!H68*Energy_Model!I68)/3600</f>
        <v>2.055842993868211</v>
      </c>
      <c r="E68" s="5">
        <f>Solar_Model!G67</f>
        <v>0.34781913549868759</v>
      </c>
      <c r="F68" s="5">
        <f t="shared" si="0"/>
        <v>-1.7080238583695233</v>
      </c>
      <c r="G68" s="5">
        <f t="shared" si="2"/>
        <v>5180.6341153787926</v>
      </c>
      <c r="H68" s="55">
        <f t="shared" si="1"/>
        <v>0.95937668803310971</v>
      </c>
    </row>
    <row r="69" spans="3:8">
      <c r="C69" s="5">
        <f>Track_Profile!C76</f>
        <v>64</v>
      </c>
      <c r="D69" s="5">
        <f>(Energy_Model!H69*Energy_Model!I69)/3600</f>
        <v>2.6588825372656051</v>
      </c>
      <c r="E69" s="5">
        <f>Solar_Model!G68</f>
        <v>0.67576289182602167</v>
      </c>
      <c r="F69" s="5">
        <f t="shared" si="0"/>
        <v>-1.9831196454395834</v>
      </c>
      <c r="G69" s="5">
        <f t="shared" si="2"/>
        <v>5178.6509957333528</v>
      </c>
      <c r="H69" s="55">
        <f t="shared" si="1"/>
        <v>0.95900944365432461</v>
      </c>
    </row>
    <row r="70" spans="3:8">
      <c r="C70" s="5">
        <f>Track_Profile!C77</f>
        <v>65</v>
      </c>
      <c r="D70" s="5">
        <f>(Energy_Model!H70*Energy_Model!I70)/3600</f>
        <v>1.9901969763498328</v>
      </c>
      <c r="E70" s="5">
        <f>Solar_Model!G69</f>
        <v>1.0434574064960629</v>
      </c>
      <c r="F70" s="5">
        <f t="shared" si="0"/>
        <v>-0.94673956985376995</v>
      </c>
      <c r="G70" s="5">
        <f t="shared" si="2"/>
        <v>5177.7042561634989</v>
      </c>
      <c r="H70" s="55">
        <f t="shared" si="1"/>
        <v>0.95883412151175906</v>
      </c>
    </row>
    <row r="71" spans="3:8">
      <c r="C71" s="5">
        <f>Track_Profile!C78</f>
        <v>66</v>
      </c>
      <c r="D71" s="5">
        <f>(Energy_Model!H71*Energy_Model!I71)/3600</f>
        <v>16.914359712657667</v>
      </c>
      <c r="E71" s="5">
        <f>Solar_Model!G70</f>
        <v>5.5433674720103339</v>
      </c>
      <c r="F71" s="5">
        <f t="shared" ref="F71:F85" si="3">E71-D71</f>
        <v>-11.370992240647332</v>
      </c>
      <c r="G71" s="5">
        <f t="shared" si="2"/>
        <v>5166.333263922852</v>
      </c>
      <c r="H71" s="55">
        <f t="shared" ref="H71:H85" si="4">G71/5400</f>
        <v>0.95672838220793555</v>
      </c>
    </row>
    <row r="72" spans="3:8">
      <c r="C72" s="5">
        <f>Track_Profile!C79</f>
        <v>67</v>
      </c>
      <c r="D72" s="5">
        <f>(Energy_Model!H72*Energy_Model!I72)/3600</f>
        <v>0.46760610097806948</v>
      </c>
      <c r="E72" s="5">
        <f>Solar_Model!G71</f>
        <v>0.38147905183727032</v>
      </c>
      <c r="F72" s="5">
        <f t="shared" si="3"/>
        <v>-8.6127049140799161E-2</v>
      </c>
      <c r="G72" s="5">
        <f t="shared" ref="G72:G85" si="5">G71+F72</f>
        <v>5166.2471368737115</v>
      </c>
      <c r="H72" s="55">
        <f t="shared" si="4"/>
        <v>0.956712432754391</v>
      </c>
    </row>
    <row r="73" spans="3:8">
      <c r="C73" s="5">
        <f>Track_Profile!C80</f>
        <v>68</v>
      </c>
      <c r="D73" s="5">
        <f>(Energy_Model!H73*Energy_Model!I73)/3600</f>
        <v>1.6083984234461999</v>
      </c>
      <c r="E73" s="5">
        <f>Solar_Model!G72</f>
        <v>0.7883900404636921</v>
      </c>
      <c r="F73" s="5">
        <f t="shared" si="3"/>
        <v>-0.82000838298250778</v>
      </c>
      <c r="G73" s="5">
        <f t="shared" si="5"/>
        <v>5165.427128490729</v>
      </c>
      <c r="H73" s="55">
        <f t="shared" si="4"/>
        <v>0.95656057935013505</v>
      </c>
    </row>
    <row r="74" spans="3:8">
      <c r="C74" s="5">
        <f>Track_Profile!C81</f>
        <v>69</v>
      </c>
      <c r="D74" s="5">
        <f>(Energy_Model!H74*Energy_Model!I74)/3600</f>
        <v>1.0855686865059775</v>
      </c>
      <c r="E74" s="5">
        <f>Solar_Model!G73</f>
        <v>0.42235180739126349</v>
      </c>
      <c r="F74" s="5">
        <f t="shared" si="3"/>
        <v>-0.66321687911471394</v>
      </c>
      <c r="G74" s="5">
        <f t="shared" si="5"/>
        <v>5164.7639116116143</v>
      </c>
      <c r="H74" s="55">
        <f t="shared" si="4"/>
        <v>0.95643776140955816</v>
      </c>
    </row>
    <row r="75" spans="3:8">
      <c r="C75" s="5">
        <f>Track_Profile!C82</f>
        <v>70</v>
      </c>
      <c r="D75" s="5">
        <f>(Energy_Model!H75*Energy_Model!I75)/3600</f>
        <v>4.7042004739091112</v>
      </c>
      <c r="E75" s="5">
        <f>Solar_Model!G74</f>
        <v>1.8193616318392893</v>
      </c>
      <c r="F75" s="5">
        <f t="shared" si="3"/>
        <v>-2.8848388420698221</v>
      </c>
      <c r="G75" s="5">
        <f t="shared" si="5"/>
        <v>5161.8790727695441</v>
      </c>
      <c r="H75" s="55">
        <f t="shared" si="4"/>
        <v>0.95590353199436007</v>
      </c>
    </row>
    <row r="76" spans="3:8">
      <c r="C76" s="5">
        <f>Track_Profile!C83</f>
        <v>71</v>
      </c>
      <c r="D76" s="5">
        <f>(Energy_Model!H76*Energy_Model!I76)/3600</f>
        <v>0.32916046023353612</v>
      </c>
      <c r="E76" s="5">
        <f>Solar_Model!G75</f>
        <v>0.47303402427821517</v>
      </c>
      <c r="F76" s="5">
        <f t="shared" si="3"/>
        <v>0.14387356404467905</v>
      </c>
      <c r="G76" s="5">
        <f t="shared" si="5"/>
        <v>5162.0229463335891</v>
      </c>
      <c r="H76" s="55">
        <f t="shared" si="4"/>
        <v>0.95593017524696089</v>
      </c>
    </row>
    <row r="77" spans="3:8">
      <c r="C77" s="5">
        <f>Track_Profile!C84</f>
        <v>72</v>
      </c>
      <c r="D77" s="5">
        <f>(Energy_Model!H77*Energy_Model!I77)/3600</f>
        <v>0.77301542125508893</v>
      </c>
      <c r="E77" s="5">
        <f>Solar_Model!G76</f>
        <v>1.0750773279050345</v>
      </c>
      <c r="F77" s="5">
        <f t="shared" si="3"/>
        <v>0.30206190664994559</v>
      </c>
      <c r="G77" s="5">
        <f t="shared" si="5"/>
        <v>5162.3250082402392</v>
      </c>
      <c r="H77" s="55">
        <f t="shared" si="4"/>
        <v>0.95598611263708133</v>
      </c>
    </row>
    <row r="78" spans="3:8">
      <c r="C78" s="5">
        <f>Track_Profile!C85</f>
        <v>73</v>
      </c>
      <c r="D78" s="5">
        <f>(Energy_Model!H78*Energy_Model!I78)/3600</f>
        <v>1.1390151546814247</v>
      </c>
      <c r="E78" s="5">
        <f>Solar_Model!G77</f>
        <v>0.56313574318835136</v>
      </c>
      <c r="F78" s="5">
        <f t="shared" si="3"/>
        <v>-0.57587941149307331</v>
      </c>
      <c r="G78" s="5">
        <f t="shared" si="5"/>
        <v>5161.7491288287465</v>
      </c>
      <c r="H78" s="55">
        <f t="shared" si="4"/>
        <v>0.95587946830161974</v>
      </c>
    </row>
    <row r="79" spans="3:8">
      <c r="C79" s="5">
        <f>Track_Profile!C86</f>
        <v>74</v>
      </c>
      <c r="D79" s="5">
        <f>(Energy_Model!H79*Energy_Model!I79)/3600</f>
        <v>0.70000730087931107</v>
      </c>
      <c r="E79" s="5">
        <f>Solar_Model!G78</f>
        <v>0.59129253034776907</v>
      </c>
      <c r="F79" s="5">
        <f t="shared" si="3"/>
        <v>-0.10871477053154199</v>
      </c>
      <c r="G79" s="5">
        <f t="shared" si="5"/>
        <v>5161.6404140582154</v>
      </c>
      <c r="H79" s="55">
        <f t="shared" si="4"/>
        <v>0.95585933593670658</v>
      </c>
    </row>
    <row r="80" spans="3:8">
      <c r="C80" s="5">
        <f>Track_Profile!C87</f>
        <v>75</v>
      </c>
      <c r="D80" s="5">
        <f>(Energy_Model!H80*Energy_Model!I80)/3600</f>
        <v>0.78902273788200816</v>
      </c>
      <c r="E80" s="5">
        <f>Solar_Model!G79</f>
        <v>1.8672395695192703</v>
      </c>
      <c r="F80" s="5">
        <f t="shared" si="3"/>
        <v>1.078216831637262</v>
      </c>
      <c r="G80" s="5">
        <f t="shared" si="5"/>
        <v>5162.7186308898526</v>
      </c>
      <c r="H80" s="55">
        <f t="shared" si="4"/>
        <v>0.95605900572034308</v>
      </c>
    </row>
    <row r="81" spans="3:8">
      <c r="C81" s="5">
        <f>Track_Profile!C88</f>
        <v>76</v>
      </c>
      <c r="D81" s="5">
        <f>(Energy_Model!H81*Energy_Model!I81)/3600</f>
        <v>0.50108672920051101</v>
      </c>
      <c r="E81" s="5">
        <f>Solar_Model!G80</f>
        <v>0.59129253034776907</v>
      </c>
      <c r="F81" s="5">
        <f t="shared" si="3"/>
        <v>9.0205801147258069E-2</v>
      </c>
      <c r="G81" s="5">
        <f t="shared" si="5"/>
        <v>5162.8088366909997</v>
      </c>
      <c r="H81" s="55">
        <f t="shared" si="4"/>
        <v>0.95607571049833329</v>
      </c>
    </row>
    <row r="82" spans="3:8">
      <c r="C82" s="5">
        <f>Track_Profile!C89</f>
        <v>77</v>
      </c>
      <c r="D82" s="5">
        <f>(Energy_Model!H82*Energy_Model!I82)/3600</f>
        <v>0.98326942566394437</v>
      </c>
      <c r="E82" s="5">
        <f>Solar_Model!G81</f>
        <v>0.53753866395251726</v>
      </c>
      <c r="F82" s="5">
        <f t="shared" si="3"/>
        <v>-0.44573076171142711</v>
      </c>
      <c r="G82" s="5">
        <f t="shared" si="5"/>
        <v>5162.3631059292884</v>
      </c>
      <c r="H82" s="55">
        <f t="shared" si="4"/>
        <v>0.95599316776468302</v>
      </c>
    </row>
    <row r="83" spans="3:8">
      <c r="C83" s="5">
        <f>Track_Profile!C90</f>
        <v>78</v>
      </c>
      <c r="D83" s="5">
        <f>(Energy_Model!H83*Energy_Model!I83)/3600</f>
        <v>0.63061125718446953</v>
      </c>
      <c r="E83" s="5">
        <f>Solar_Model!G82</f>
        <v>0.51416741769371221</v>
      </c>
      <c r="F83" s="5">
        <f t="shared" si="3"/>
        <v>-0.11644383949075732</v>
      </c>
      <c r="G83" s="5">
        <f t="shared" si="5"/>
        <v>5162.2466620897976</v>
      </c>
      <c r="H83" s="55">
        <f t="shared" si="4"/>
        <v>0.95597160409070325</v>
      </c>
    </row>
    <row r="84" spans="3:8">
      <c r="C84" s="5">
        <f>Track_Profile!C91</f>
        <v>79</v>
      </c>
      <c r="D84" s="5">
        <f>(Energy_Model!H84*Energy_Model!I84)/3600</f>
        <v>0.27996122092179998</v>
      </c>
      <c r="E84" s="5">
        <f>Solar_Model!G83</f>
        <v>0.4927437752898074</v>
      </c>
      <c r="F84" s="5">
        <f t="shared" si="3"/>
        <v>0.21278255436800741</v>
      </c>
      <c r="G84" s="5">
        <f t="shared" si="5"/>
        <v>5162.4594446441661</v>
      </c>
      <c r="H84" s="55">
        <f t="shared" si="4"/>
        <v>0.95601100826743812</v>
      </c>
    </row>
    <row r="85" spans="3:8">
      <c r="C85" s="5">
        <f>Track_Profile!C92</f>
        <v>80</v>
      </c>
      <c r="D85" s="5">
        <f>(Energy_Model!H85*Energy_Model!I85)/3600</f>
        <v>6.3061125718446949</v>
      </c>
      <c r="E85" s="5">
        <f>Solar_Model!G84</f>
        <v>5.1416741769371219</v>
      </c>
      <c r="F85" s="5">
        <f t="shared" si="3"/>
        <v>-1.1644383949075729</v>
      </c>
      <c r="G85" s="5">
        <f t="shared" si="5"/>
        <v>5161.2950062492582</v>
      </c>
      <c r="H85" s="55">
        <f t="shared" si="4"/>
        <v>0.95579537152764038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B7B5-22CF-994F-949C-22CEB24D4252}">
  <dimension ref="A3:BL84"/>
  <sheetViews>
    <sheetView zoomScale="75" workbookViewId="0">
      <selection activeCell="AC30" sqref="AC30"/>
    </sheetView>
  </sheetViews>
  <sheetFormatPr defaultColWidth="10.796875" defaultRowHeight="15"/>
  <cols>
    <col min="1" max="6" width="10.796875" style="3"/>
    <col min="7" max="7" width="19.296875" style="3" customWidth="1"/>
    <col min="8" max="8" width="14.19921875" style="3" customWidth="1"/>
    <col min="9" max="16384" width="10.796875" style="3"/>
  </cols>
  <sheetData>
    <row r="3" spans="1:64" ht="15.6" thickBot="1">
      <c r="BA3" s="3" t="s">
        <v>72</v>
      </c>
    </row>
    <row r="4" spans="1:64" ht="16.2" thickBot="1">
      <c r="AV4" s="3" t="str">
        <f>BL4</f>
        <v>Expected Velocity (mph)</v>
      </c>
      <c r="AX4" s="3" t="str">
        <f>BJ4</f>
        <v>Motor Power</v>
      </c>
      <c r="BA4" s="39" t="str">
        <f>Energy_Balance!G5</f>
        <v>Battery Level</v>
      </c>
      <c r="BB4" s="31" t="str">
        <f>Track_Profile!F12</f>
        <v>Acummulated</v>
      </c>
      <c r="BE4" s="3" t="str">
        <f>Solar_Model!E4</f>
        <v>Solar Power</v>
      </c>
      <c r="BG4" s="3" t="str">
        <f>Energy_Balance!F5</f>
        <v>Delta Energy</v>
      </c>
      <c r="BH4" s="3" t="str">
        <f>Track_Profile!F12</f>
        <v>Acummulated</v>
      </c>
      <c r="BJ4" s="3" t="str">
        <f>Energy_Model!H5</f>
        <v>Motor Power</v>
      </c>
      <c r="BK4" s="3" t="str">
        <f t="shared" ref="BK4:BK35" si="0">BH4</f>
        <v>Acummulated</v>
      </c>
      <c r="BL4" s="3" t="str">
        <f>Track_Profile!H12</f>
        <v>Expected Velocity (mph)</v>
      </c>
    </row>
    <row r="5" spans="1:64" ht="17.399999999999999">
      <c r="A5" s="56"/>
      <c r="AV5" s="3">
        <f t="shared" ref="AV5:AV68" si="1">BL5</f>
        <v>25</v>
      </c>
      <c r="AX5" s="3">
        <f t="shared" ref="AX5:AX68" si="2">BJ5</f>
        <v>1817.5085263676001</v>
      </c>
      <c r="BA5" s="5">
        <f>Energy_Balance!G6</f>
        <v>5397.2063566275583</v>
      </c>
      <c r="BB5" s="16">
        <f>Track_Profile!F13</f>
        <v>0.11</v>
      </c>
      <c r="BE5" s="3">
        <f>Solar_Model!E5</f>
        <v>1182.588</v>
      </c>
      <c r="BG5" s="3">
        <f>Energy_Balance!F6</f>
        <v>-2.7936433724421299</v>
      </c>
      <c r="BH5" s="3">
        <f>Track_Profile!F13</f>
        <v>0.11</v>
      </c>
      <c r="BJ5" s="3">
        <f>Energy_Model!H6</f>
        <v>1817.5085263676001</v>
      </c>
      <c r="BK5" s="3">
        <f t="shared" si="0"/>
        <v>0.11</v>
      </c>
      <c r="BL5" s="3">
        <f>Track_Profile!H13</f>
        <v>25</v>
      </c>
    </row>
    <row r="6" spans="1:64">
      <c r="AV6" s="3">
        <f t="shared" si="1"/>
        <v>26</v>
      </c>
      <c r="AX6" s="3">
        <f t="shared" si="2"/>
        <v>3574.9326798465277</v>
      </c>
      <c r="BA6" s="5">
        <f>Energy_Balance!G7</f>
        <v>5396.2862263453617</v>
      </c>
      <c r="BB6" s="16">
        <f>Track_Profile!F14</f>
        <v>0.12</v>
      </c>
      <c r="BE6" s="3">
        <f>Solar_Model!E6</f>
        <v>1182.588</v>
      </c>
      <c r="BG6" s="3">
        <f>Energy_Balance!F7</f>
        <v>-0.92013028219625537</v>
      </c>
      <c r="BH6" s="3">
        <f>Track_Profile!F14</f>
        <v>0.12</v>
      </c>
      <c r="BJ6" s="3">
        <f>Energy_Model!H7</f>
        <v>3574.9326798465277</v>
      </c>
      <c r="BK6" s="3">
        <f t="shared" si="0"/>
        <v>0.12</v>
      </c>
      <c r="BL6" s="3">
        <f>Track_Profile!H14</f>
        <v>26</v>
      </c>
    </row>
    <row r="7" spans="1:64">
      <c r="AV7" s="3">
        <f t="shared" si="1"/>
        <v>27</v>
      </c>
      <c r="AX7" s="3">
        <f t="shared" si="2"/>
        <v>2781.9385509342237</v>
      </c>
      <c r="BA7" s="5">
        <f>Energy_Balance!G8</f>
        <v>5395.6938757617418</v>
      </c>
      <c r="BB7" s="16">
        <f>Track_Profile!F15</f>
        <v>0.13</v>
      </c>
      <c r="BE7" s="3">
        <f>Solar_Model!E7</f>
        <v>1182.588</v>
      </c>
      <c r="BG7" s="3">
        <f>Energy_Balance!F8</f>
        <v>-0.59235058361955151</v>
      </c>
      <c r="BH7" s="3">
        <f>Track_Profile!F15</f>
        <v>0.13</v>
      </c>
      <c r="BJ7" s="3">
        <f>Energy_Model!H8</f>
        <v>2781.9385509342237</v>
      </c>
      <c r="BK7" s="3">
        <f t="shared" si="0"/>
        <v>0.13</v>
      </c>
      <c r="BL7" s="3">
        <f>Track_Profile!H15</f>
        <v>27</v>
      </c>
    </row>
    <row r="8" spans="1:64">
      <c r="AV8" s="3">
        <f t="shared" si="1"/>
        <v>28</v>
      </c>
      <c r="AX8" s="3">
        <f t="shared" si="2"/>
        <v>2482.6208920325121</v>
      </c>
      <c r="BA8" s="5">
        <f>Energy_Balance!G9</f>
        <v>5394.3009868394338</v>
      </c>
      <c r="BB8" s="16">
        <f>Track_Profile!F16</f>
        <v>0.16</v>
      </c>
      <c r="BE8" s="3">
        <f>Solar_Model!E8</f>
        <v>1182.588</v>
      </c>
      <c r="BG8" s="3">
        <f>Energy_Balance!F9</f>
        <v>-1.3928889223077423</v>
      </c>
      <c r="BH8" s="3">
        <f>Track_Profile!F16</f>
        <v>0.16</v>
      </c>
      <c r="BJ8" s="3">
        <f>Energy_Model!H9</f>
        <v>2482.6208920325121</v>
      </c>
      <c r="BK8" s="3">
        <f t="shared" si="0"/>
        <v>0.16</v>
      </c>
      <c r="BL8" s="3">
        <f>Track_Profile!H16</f>
        <v>28</v>
      </c>
    </row>
    <row r="9" spans="1:64">
      <c r="AV9" s="3">
        <f t="shared" si="1"/>
        <v>29</v>
      </c>
      <c r="AX9" s="3">
        <f t="shared" si="2"/>
        <v>3314.1295558048478</v>
      </c>
      <c r="BA9" s="5">
        <f>Energy_Balance!G10</f>
        <v>5393.5659743367132</v>
      </c>
      <c r="BB9" s="16">
        <f>Track_Profile!F17</f>
        <v>0.17</v>
      </c>
      <c r="BE9" s="3">
        <f>Solar_Model!E9</f>
        <v>1182.588</v>
      </c>
      <c r="BG9" s="3">
        <f>Energy_Balance!F10</f>
        <v>-0.73501250272095731</v>
      </c>
      <c r="BH9" s="3">
        <f>Track_Profile!F17</f>
        <v>0.17</v>
      </c>
      <c r="BJ9" s="3">
        <f>Energy_Model!H10</f>
        <v>3314.1295558048478</v>
      </c>
      <c r="BK9" s="3">
        <f t="shared" si="0"/>
        <v>0.17</v>
      </c>
      <c r="BL9" s="3">
        <f>Track_Profile!H17</f>
        <v>29</v>
      </c>
    </row>
    <row r="10" spans="1:64">
      <c r="AV10" s="3">
        <f t="shared" si="1"/>
        <v>29</v>
      </c>
      <c r="AX10" s="3">
        <f t="shared" si="2"/>
        <v>3891.0006474776796</v>
      </c>
      <c r="BA10" s="5">
        <f>Energy_Balance!G11</f>
        <v>5392.6320412623136</v>
      </c>
      <c r="BB10" s="16">
        <f>Track_Profile!F18</f>
        <v>0.18000000000000002</v>
      </c>
      <c r="BE10" s="3">
        <f>Solar_Model!E10</f>
        <v>1182.588</v>
      </c>
      <c r="BG10" s="3">
        <f>Energy_Balance!F11</f>
        <v>-0.93393307439975715</v>
      </c>
      <c r="BH10" s="3">
        <f>Track_Profile!F18</f>
        <v>0.18000000000000002</v>
      </c>
      <c r="BJ10" s="3">
        <f>Energy_Model!H11</f>
        <v>3891.0006474776796</v>
      </c>
      <c r="BK10" s="3">
        <f t="shared" si="0"/>
        <v>0.18000000000000002</v>
      </c>
      <c r="BL10" s="3">
        <f>Track_Profile!H18</f>
        <v>29</v>
      </c>
    </row>
    <row r="11" spans="1:64">
      <c r="AV11" s="3">
        <f t="shared" si="1"/>
        <v>29</v>
      </c>
      <c r="AX11" s="3">
        <f t="shared" si="2"/>
        <v>5044.7428308233439</v>
      </c>
      <c r="BA11" s="5">
        <f>Energy_Balance!G12</f>
        <v>5391.3002670445558</v>
      </c>
      <c r="BB11" s="16">
        <f>Track_Profile!F19</f>
        <v>0.19000000000000003</v>
      </c>
      <c r="BE11" s="3">
        <f>Solar_Model!E11</f>
        <v>1182.588</v>
      </c>
      <c r="BG11" s="3">
        <f>Energy_Balance!F12</f>
        <v>-1.3317742177573573</v>
      </c>
      <c r="BH11" s="3">
        <f>Track_Profile!F19</f>
        <v>0.19000000000000003</v>
      </c>
      <c r="BJ11" s="3">
        <f>Energy_Model!H12</f>
        <v>5044.7428308233439</v>
      </c>
      <c r="BK11" s="3">
        <f t="shared" si="0"/>
        <v>0.19000000000000003</v>
      </c>
      <c r="BL11" s="3">
        <f>Track_Profile!H19</f>
        <v>29</v>
      </c>
    </row>
    <row r="12" spans="1:64">
      <c r="AV12" s="3">
        <f t="shared" si="1"/>
        <v>30</v>
      </c>
      <c r="AX12" s="3">
        <f t="shared" si="2"/>
        <v>4202.8932265056001</v>
      </c>
      <c r="BA12" s="5">
        <f>Energy_Balance!G13</f>
        <v>5390.2935011380278</v>
      </c>
      <c r="BB12" s="16">
        <f>Track_Profile!F20</f>
        <v>0.20000000000000004</v>
      </c>
      <c r="BE12" s="3">
        <f>Solar_Model!E12</f>
        <v>1182.588</v>
      </c>
      <c r="BG12" s="3">
        <f>Energy_Balance!F13</f>
        <v>-1.006765906527654</v>
      </c>
      <c r="BH12" s="3">
        <f>Track_Profile!F20</f>
        <v>0.20000000000000004</v>
      </c>
      <c r="BJ12" s="3">
        <f>Energy_Model!H13</f>
        <v>4202.8932265056001</v>
      </c>
      <c r="BK12" s="3">
        <f t="shared" si="0"/>
        <v>0.20000000000000004</v>
      </c>
      <c r="BL12" s="3">
        <f>Track_Profile!H20</f>
        <v>30</v>
      </c>
    </row>
    <row r="13" spans="1:64">
      <c r="AV13" s="3">
        <f t="shared" si="1"/>
        <v>31</v>
      </c>
      <c r="AX13" s="3">
        <f t="shared" si="2"/>
        <v>3299.5484306222243</v>
      </c>
      <c r="BA13" s="5">
        <f>Energy_Balance!G14</f>
        <v>5389.6106123738509</v>
      </c>
      <c r="BB13" s="16">
        <f>Track_Profile!F21</f>
        <v>0.21000000000000005</v>
      </c>
      <c r="BE13" s="3">
        <f>Solar_Model!E13</f>
        <v>1182.588</v>
      </c>
      <c r="BG13" s="3">
        <f>Energy_Balance!F14</f>
        <v>-0.68288876417719901</v>
      </c>
      <c r="BH13" s="3">
        <f>Track_Profile!F21</f>
        <v>0.21000000000000005</v>
      </c>
      <c r="BJ13" s="3">
        <f>Energy_Model!H14</f>
        <v>3299.5484306222243</v>
      </c>
      <c r="BK13" s="3">
        <f t="shared" si="0"/>
        <v>0.21000000000000005</v>
      </c>
      <c r="BL13" s="3">
        <f>Track_Profile!H21</f>
        <v>31</v>
      </c>
    </row>
    <row r="14" spans="1:64">
      <c r="AV14" s="3">
        <f t="shared" si="1"/>
        <v>30</v>
      </c>
      <c r="AX14" s="3">
        <f t="shared" si="2"/>
        <v>3606.1300282233597</v>
      </c>
      <c r="BA14" s="5">
        <f>Energy_Balance!G15</f>
        <v>5388.802767039002</v>
      </c>
      <c r="BB14" s="16">
        <f>Track_Profile!F22</f>
        <v>0.22000000000000006</v>
      </c>
      <c r="BE14" s="3">
        <f>Solar_Model!E14</f>
        <v>1182.588</v>
      </c>
      <c r="BG14" s="3">
        <f>Energy_Balance!F15</f>
        <v>-0.8078453348488539</v>
      </c>
      <c r="BH14" s="3">
        <f>Track_Profile!F22</f>
        <v>0.22000000000000006</v>
      </c>
      <c r="BJ14" s="3">
        <f>Energy_Model!H15</f>
        <v>3606.1300282233597</v>
      </c>
      <c r="BK14" s="3">
        <f t="shared" si="0"/>
        <v>0.22000000000000006</v>
      </c>
      <c r="BL14" s="3">
        <f>Track_Profile!H22</f>
        <v>30</v>
      </c>
    </row>
    <row r="15" spans="1:64" ht="17.399999999999999">
      <c r="A15" s="56"/>
      <c r="AV15" s="3">
        <f t="shared" si="1"/>
        <v>27</v>
      </c>
      <c r="AX15" s="3">
        <f t="shared" si="2"/>
        <v>2244.851672480208</v>
      </c>
      <c r="BA15" s="5">
        <f>Energy_Balance!G16</f>
        <v>5388.4093370270612</v>
      </c>
      <c r="BB15" s="16">
        <f>Track_Profile!F23</f>
        <v>0.23000000000000007</v>
      </c>
      <c r="BE15" s="3">
        <f>Solar_Model!E15</f>
        <v>1182.588</v>
      </c>
      <c r="BG15" s="3">
        <f>Energy_Balance!F16</f>
        <v>-0.39343001194075172</v>
      </c>
      <c r="BH15" s="3">
        <f>Track_Profile!F23</f>
        <v>0.23000000000000007</v>
      </c>
      <c r="BJ15" s="3">
        <f>Energy_Model!H16</f>
        <v>2244.851672480208</v>
      </c>
      <c r="BK15" s="3">
        <f t="shared" si="0"/>
        <v>0.23000000000000007</v>
      </c>
      <c r="BL15" s="3">
        <f>Track_Profile!H23</f>
        <v>27</v>
      </c>
    </row>
    <row r="16" spans="1:64">
      <c r="AV16" s="3">
        <f t="shared" si="1"/>
        <v>26</v>
      </c>
      <c r="AX16" s="3">
        <f t="shared" si="2"/>
        <v>3574.9326798465277</v>
      </c>
      <c r="BA16" s="5">
        <f>Energy_Balance!G17</f>
        <v>5386.5690764626688</v>
      </c>
      <c r="BB16" s="16">
        <f>Track_Profile!F24</f>
        <v>0.25000000000000006</v>
      </c>
      <c r="BE16" s="3">
        <f>Solar_Model!E16</f>
        <v>1182.588</v>
      </c>
      <c r="BG16" s="3">
        <f>Energy_Balance!F17</f>
        <v>-1.8402605643925107</v>
      </c>
      <c r="BH16" s="3">
        <f>Track_Profile!F24</f>
        <v>0.25000000000000006</v>
      </c>
      <c r="BJ16" s="3">
        <f>Energy_Model!H17</f>
        <v>3574.9326798465277</v>
      </c>
      <c r="BK16" s="3">
        <f t="shared" si="0"/>
        <v>0.25000000000000006</v>
      </c>
      <c r="BL16" s="3">
        <f>Track_Profile!H24</f>
        <v>26</v>
      </c>
    </row>
    <row r="17" spans="48:64">
      <c r="AV17" s="3">
        <f t="shared" si="1"/>
        <v>30</v>
      </c>
      <c r="AX17" s="3">
        <f t="shared" si="2"/>
        <v>2412.6036316588797</v>
      </c>
      <c r="BA17" s="5">
        <f>Energy_Balance!G18</f>
        <v>5386.1590722711771</v>
      </c>
      <c r="BB17" s="16">
        <f>Track_Profile!F25</f>
        <v>0.26000000000000006</v>
      </c>
      <c r="BE17" s="3">
        <f>Solar_Model!E17</f>
        <v>1182.588</v>
      </c>
      <c r="BG17" s="3">
        <f>Energy_Balance!F18</f>
        <v>-0.41000419149125389</v>
      </c>
      <c r="BH17" s="3">
        <f>Track_Profile!F25</f>
        <v>0.26000000000000006</v>
      </c>
      <c r="BJ17" s="3">
        <f>Energy_Model!H18</f>
        <v>2412.6036316588797</v>
      </c>
      <c r="BK17" s="3">
        <f t="shared" si="0"/>
        <v>0.26000000000000006</v>
      </c>
      <c r="BL17" s="3">
        <f>Track_Profile!H25</f>
        <v>30</v>
      </c>
    </row>
    <row r="18" spans="48:64">
      <c r="AV18" s="3">
        <f t="shared" si="1"/>
        <v>32</v>
      </c>
      <c r="AX18" s="3">
        <f t="shared" si="2"/>
        <v>1698.7634728345604</v>
      </c>
      <c r="BA18" s="5">
        <f>Energy_Balance!G19</f>
        <v>5385.9977678368368</v>
      </c>
      <c r="BB18" s="16">
        <f>Track_Profile!F26</f>
        <v>0.27000000000000007</v>
      </c>
      <c r="BE18" s="3">
        <f>Solar_Model!E18</f>
        <v>1182.588</v>
      </c>
      <c r="BG18" s="3">
        <f>Energy_Balance!F19</f>
        <v>-0.1613044343400889</v>
      </c>
      <c r="BH18" s="3">
        <f>Track_Profile!F26</f>
        <v>0.27000000000000007</v>
      </c>
      <c r="BJ18" s="3">
        <f>Energy_Model!H19</f>
        <v>1698.7634728345604</v>
      </c>
      <c r="BK18" s="3">
        <f t="shared" si="0"/>
        <v>0.27000000000000007</v>
      </c>
      <c r="BL18" s="3">
        <f>Track_Profile!H26</f>
        <v>32</v>
      </c>
    </row>
    <row r="19" spans="48:64">
      <c r="AV19" s="3">
        <f t="shared" si="1"/>
        <v>32</v>
      </c>
      <c r="AX19" s="3">
        <f t="shared" si="2"/>
        <v>2971.8582958366719</v>
      </c>
      <c r="BA19" s="5">
        <f>Energy_Balance!G20</f>
        <v>5385.4386222591393</v>
      </c>
      <c r="BB19" s="16">
        <f>Track_Profile!F27</f>
        <v>0.28000000000000008</v>
      </c>
      <c r="BE19" s="3">
        <f>Solar_Model!E19</f>
        <v>1182.588</v>
      </c>
      <c r="BG19" s="3">
        <f>Energy_Balance!F20</f>
        <v>-0.5591455776976888</v>
      </c>
      <c r="BH19" s="3">
        <f>Track_Profile!F27</f>
        <v>0.28000000000000008</v>
      </c>
      <c r="BJ19" s="3">
        <f>Energy_Model!H20</f>
        <v>2971.8582958366719</v>
      </c>
      <c r="BK19" s="3">
        <f t="shared" si="0"/>
        <v>0.28000000000000008</v>
      </c>
      <c r="BL19" s="3">
        <f>Track_Profile!H27</f>
        <v>32</v>
      </c>
    </row>
    <row r="20" spans="48:64">
      <c r="AV20" s="3">
        <f t="shared" si="1"/>
        <v>34</v>
      </c>
      <c r="AX20" s="3">
        <f t="shared" si="2"/>
        <v>4284.5570535215356</v>
      </c>
      <c r="BA20" s="5">
        <f>Energy_Balance!G21</f>
        <v>5383.6139391158304</v>
      </c>
      <c r="BB20" s="16">
        <f>Track_Profile!F28</f>
        <v>0.3000000000000001</v>
      </c>
      <c r="BE20" s="3">
        <f>Solar_Model!E20</f>
        <v>1182.588</v>
      </c>
      <c r="BG20" s="3">
        <f>Energy_Balance!F21</f>
        <v>-1.8246831433086463</v>
      </c>
      <c r="BH20" s="3">
        <f>Track_Profile!F28</f>
        <v>0.3000000000000001</v>
      </c>
      <c r="BJ20" s="3">
        <f>Energy_Model!H21</f>
        <v>4284.5570535215356</v>
      </c>
      <c r="BK20" s="3">
        <f t="shared" si="0"/>
        <v>0.3000000000000001</v>
      </c>
      <c r="BL20" s="3">
        <f>Track_Profile!H28</f>
        <v>34</v>
      </c>
    </row>
    <row r="21" spans="48:64">
      <c r="AV21" s="3">
        <f t="shared" si="1"/>
        <v>36</v>
      </c>
      <c r="AX21" s="3">
        <f t="shared" si="2"/>
        <v>3610.408721914368</v>
      </c>
      <c r="BA21" s="5">
        <f>Energy_Balance!G22</f>
        <v>5380.2419742719376</v>
      </c>
      <c r="BB21" s="16">
        <f>Track_Profile!F29</f>
        <v>0.35000000000000009</v>
      </c>
      <c r="BE21" s="3">
        <f>Solar_Model!E21</f>
        <v>1182.588</v>
      </c>
      <c r="BG21" s="3">
        <f>Energy_Balance!F22</f>
        <v>-3.3719648438929744</v>
      </c>
      <c r="BH21" s="3">
        <f>Track_Profile!F29</f>
        <v>0.35000000000000009</v>
      </c>
      <c r="BJ21" s="3">
        <f>Energy_Model!H22</f>
        <v>3610.408721914368</v>
      </c>
      <c r="BK21" s="3">
        <f t="shared" si="0"/>
        <v>0.35000000000000009</v>
      </c>
      <c r="BL21" s="3">
        <f>Track_Profile!H29</f>
        <v>36</v>
      </c>
    </row>
    <row r="22" spans="48:64">
      <c r="AV22" s="3">
        <f t="shared" si="1"/>
        <v>34</v>
      </c>
      <c r="AX22" s="3">
        <f t="shared" si="2"/>
        <v>3608.2254288016638</v>
      </c>
      <c r="BA22" s="5">
        <f>Energy_Balance!G23</f>
        <v>5379.5285532719618</v>
      </c>
      <c r="BB22" s="16">
        <f>Track_Profile!F30</f>
        <v>0.3600000000000001</v>
      </c>
      <c r="BE22" s="3">
        <f>Solar_Model!E22</f>
        <v>1182.588</v>
      </c>
      <c r="BG22" s="3">
        <f>Energy_Balance!F23</f>
        <v>-0.71342099997552333</v>
      </c>
      <c r="BH22" s="3">
        <f>Track_Profile!F30</f>
        <v>0.3600000000000001</v>
      </c>
      <c r="BJ22" s="3">
        <f>Energy_Model!H23</f>
        <v>3608.2254288016638</v>
      </c>
      <c r="BK22" s="3">
        <f t="shared" si="0"/>
        <v>0.3600000000000001</v>
      </c>
      <c r="BL22" s="3">
        <f>Track_Profile!H30</f>
        <v>34</v>
      </c>
    </row>
    <row r="23" spans="48:64">
      <c r="AV23" s="3">
        <f t="shared" si="1"/>
        <v>38</v>
      </c>
      <c r="AX23" s="3">
        <f t="shared" si="2"/>
        <v>5887.4752694475519</v>
      </c>
      <c r="BA23" s="5">
        <f>Energy_Balance!G24</f>
        <v>5369.6235520603368</v>
      </c>
      <c r="BB23" s="16">
        <f>Track_Profile!F31</f>
        <v>0.44000000000000011</v>
      </c>
      <c r="BE23" s="3">
        <f>Solar_Model!E23</f>
        <v>1182.588</v>
      </c>
      <c r="BG23" s="3">
        <f>Energy_Balance!F24</f>
        <v>-9.9050012116250592</v>
      </c>
      <c r="BH23" s="3">
        <f>Track_Profile!F31</f>
        <v>0.44000000000000011</v>
      </c>
      <c r="BJ23" s="3">
        <f>Energy_Model!H24</f>
        <v>5887.4752694475519</v>
      </c>
      <c r="BK23" s="3">
        <f t="shared" si="0"/>
        <v>0.44000000000000011</v>
      </c>
      <c r="BL23" s="3">
        <f>Track_Profile!H31</f>
        <v>38</v>
      </c>
    </row>
    <row r="24" spans="48:64">
      <c r="AV24" s="3">
        <f t="shared" si="1"/>
        <v>36</v>
      </c>
      <c r="AX24" s="3">
        <f t="shared" si="2"/>
        <v>5042.6403977917435</v>
      </c>
      <c r="BA24" s="5">
        <f>Energy_Balance!G25</f>
        <v>5368.5513179482004</v>
      </c>
      <c r="BB24" s="16">
        <f>Track_Profile!F32</f>
        <v>0.45000000000000012</v>
      </c>
      <c r="BE24" s="3">
        <f>Solar_Model!E24</f>
        <v>1182.588</v>
      </c>
      <c r="BG24" s="3">
        <f>Energy_Balance!F25</f>
        <v>-1.0722341121361947</v>
      </c>
      <c r="BH24" s="3">
        <f>Track_Profile!F32</f>
        <v>0.45000000000000012</v>
      </c>
      <c r="BJ24" s="3">
        <f>Energy_Model!H25</f>
        <v>5042.6403977917435</v>
      </c>
      <c r="BK24" s="3">
        <f t="shared" si="0"/>
        <v>0.45000000000000012</v>
      </c>
      <c r="BL24" s="3">
        <f>Track_Profile!H32</f>
        <v>36</v>
      </c>
    </row>
    <row r="25" spans="48:64">
      <c r="AV25" s="3">
        <f t="shared" si="1"/>
        <v>32</v>
      </c>
      <c r="AX25" s="3">
        <f t="shared" si="2"/>
        <v>5518.0479418408959</v>
      </c>
      <c r="BA25" s="5">
        <f>Energy_Balance!G26</f>
        <v>5367.1964900837875</v>
      </c>
      <c r="BB25" s="16">
        <f>Track_Profile!F33</f>
        <v>0.46000000000000013</v>
      </c>
      <c r="BE25" s="3">
        <f>Solar_Model!E25</f>
        <v>1182.588</v>
      </c>
      <c r="BG25" s="3">
        <f>Energy_Balance!F26</f>
        <v>-1.3548278644128886</v>
      </c>
      <c r="BH25" s="3">
        <f>Track_Profile!F33</f>
        <v>0.46000000000000013</v>
      </c>
      <c r="BJ25" s="3">
        <f>Energy_Model!H26</f>
        <v>5518.0479418408959</v>
      </c>
      <c r="BK25" s="3">
        <f t="shared" si="0"/>
        <v>0.46000000000000013</v>
      </c>
      <c r="BL25" s="3">
        <f>Track_Profile!H33</f>
        <v>32</v>
      </c>
    </row>
    <row r="26" spans="48:64">
      <c r="AV26" s="3">
        <f t="shared" si="1"/>
        <v>32</v>
      </c>
      <c r="AX26" s="3">
        <f t="shared" si="2"/>
        <v>4881.5005303398402</v>
      </c>
      <c r="BA26" s="5">
        <f>Energy_Balance!G27</f>
        <v>5366.0405827910536</v>
      </c>
      <c r="BB26" s="16">
        <f>Track_Profile!F34</f>
        <v>0.47000000000000014</v>
      </c>
      <c r="BE26" s="3">
        <f>Solar_Model!E26</f>
        <v>1182.588</v>
      </c>
      <c r="BG26" s="3">
        <f>Energy_Balance!F27</f>
        <v>-1.155907292734089</v>
      </c>
      <c r="BH26" s="3">
        <f>Track_Profile!F34</f>
        <v>0.47000000000000014</v>
      </c>
      <c r="BJ26" s="3">
        <f>Energy_Model!H27</f>
        <v>4881.5005303398402</v>
      </c>
      <c r="BK26" s="3">
        <f t="shared" si="0"/>
        <v>0.47000000000000014</v>
      </c>
      <c r="BL26" s="3">
        <f>Track_Profile!H34</f>
        <v>32</v>
      </c>
    </row>
    <row r="27" spans="48:64">
      <c r="AV27" s="3">
        <f t="shared" si="1"/>
        <v>34</v>
      </c>
      <c r="AX27" s="3">
        <f t="shared" si="2"/>
        <v>4284.5570535215356</v>
      </c>
      <c r="BA27" s="5">
        <f>Energy_Balance!G28</f>
        <v>5365.1282412193996</v>
      </c>
      <c r="BB27" s="16">
        <f>Track_Profile!F35</f>
        <v>0.48000000000000015</v>
      </c>
      <c r="BE27" s="3">
        <f>Solar_Model!E27</f>
        <v>1182.588</v>
      </c>
      <c r="BG27" s="3">
        <f>Energy_Balance!F28</f>
        <v>-0.91234157165432317</v>
      </c>
      <c r="BH27" s="3">
        <f>Track_Profile!F35</f>
        <v>0.48000000000000015</v>
      </c>
      <c r="BJ27" s="3">
        <f>Energy_Model!H28</f>
        <v>4284.5570535215356</v>
      </c>
      <c r="BK27" s="3">
        <f t="shared" si="0"/>
        <v>0.48000000000000015</v>
      </c>
      <c r="BL27" s="3">
        <f>Track_Profile!H35</f>
        <v>34</v>
      </c>
    </row>
    <row r="28" spans="48:64">
      <c r="AV28" s="3">
        <f t="shared" si="1"/>
        <v>36</v>
      </c>
      <c r="AX28" s="3">
        <f t="shared" si="2"/>
        <v>3610.408721914368</v>
      </c>
      <c r="BA28" s="5">
        <f>Energy_Balance!G29</f>
        <v>5363.7794552818423</v>
      </c>
      <c r="BB28" s="16">
        <f>Track_Profile!F36</f>
        <v>0.50000000000000011</v>
      </c>
      <c r="BE28" s="3">
        <f>Solar_Model!E28</f>
        <v>1182.588</v>
      </c>
      <c r="BG28" s="3">
        <f>Energy_Balance!F29</f>
        <v>-1.34878593755719</v>
      </c>
      <c r="BH28" s="3">
        <f>Track_Profile!F36</f>
        <v>0.50000000000000011</v>
      </c>
      <c r="BJ28" s="3">
        <f>Energy_Model!H29</f>
        <v>3610.408721914368</v>
      </c>
      <c r="BK28" s="3">
        <f t="shared" si="0"/>
        <v>0.50000000000000011</v>
      </c>
      <c r="BL28" s="3">
        <f>Track_Profile!H36</f>
        <v>36</v>
      </c>
    </row>
    <row r="29" spans="48:64">
      <c r="AV29" s="3">
        <f t="shared" si="1"/>
        <v>38</v>
      </c>
      <c r="AX29" s="3">
        <f t="shared" si="2"/>
        <v>5887.4752694475519</v>
      </c>
      <c r="BA29" s="5">
        <f>Energy_Balance!G30</f>
        <v>5346.4457031614984</v>
      </c>
      <c r="BB29" s="16">
        <f>Track_Profile!F37</f>
        <v>0.64000000000000012</v>
      </c>
      <c r="BE29" s="3">
        <f>Solar_Model!E29</f>
        <v>1182.588</v>
      </c>
      <c r="BG29" s="3">
        <f>Energy_Balance!F30</f>
        <v>-17.333752120343856</v>
      </c>
      <c r="BH29" s="3">
        <f>Track_Profile!F37</f>
        <v>0.64000000000000012</v>
      </c>
      <c r="BJ29" s="3">
        <f>Energy_Model!H30</f>
        <v>5887.4752694475519</v>
      </c>
      <c r="BK29" s="3">
        <f t="shared" si="0"/>
        <v>0.64000000000000012</v>
      </c>
      <c r="BL29" s="3">
        <f>Track_Profile!H37</f>
        <v>38</v>
      </c>
    </row>
    <row r="30" spans="48:64">
      <c r="AV30" s="3">
        <f t="shared" si="1"/>
        <v>28</v>
      </c>
      <c r="AX30" s="3">
        <f t="shared" si="2"/>
        <v>2482.6208920325121</v>
      </c>
      <c r="BA30" s="5">
        <f>Energy_Balance!G31</f>
        <v>5342.2670363945754</v>
      </c>
      <c r="BB30" s="16">
        <f>Track_Profile!F38</f>
        <v>0.73000000000000009</v>
      </c>
      <c r="BE30" s="3">
        <f>Solar_Model!E30</f>
        <v>1182.588</v>
      </c>
      <c r="BG30" s="3">
        <f>Energy_Balance!F31</f>
        <v>-4.1786667669232287</v>
      </c>
      <c r="BH30" s="3">
        <f>Track_Profile!F38</f>
        <v>0.73000000000000009</v>
      </c>
      <c r="BJ30" s="3">
        <f>Energy_Model!H31</f>
        <v>2482.6208920325121</v>
      </c>
      <c r="BK30" s="3">
        <f t="shared" si="0"/>
        <v>0.73000000000000009</v>
      </c>
      <c r="BL30" s="3">
        <f>Track_Profile!H38</f>
        <v>28</v>
      </c>
    </row>
    <row r="31" spans="48:64">
      <c r="AV31" s="3">
        <f t="shared" si="1"/>
        <v>38</v>
      </c>
      <c r="AX31" s="3">
        <f t="shared" si="2"/>
        <v>5887.4752694475519</v>
      </c>
      <c r="BA31" s="5">
        <f>Energy_Balance!G32</f>
        <v>5319.9807836684186</v>
      </c>
      <c r="BB31" s="16">
        <f>Track_Profile!F39</f>
        <v>0.91000000000000014</v>
      </c>
      <c r="BE31" s="3">
        <f>Solar_Model!E31</f>
        <v>1182.588</v>
      </c>
      <c r="BG31" s="3">
        <f>Energy_Balance!F32</f>
        <v>-22.286252726156388</v>
      </c>
      <c r="BH31" s="3">
        <f>Track_Profile!F39</f>
        <v>0.91000000000000014</v>
      </c>
      <c r="BJ31" s="3">
        <f>Energy_Model!H32</f>
        <v>5887.4752694475519</v>
      </c>
      <c r="BK31" s="3">
        <f t="shared" si="0"/>
        <v>0.91000000000000014</v>
      </c>
      <c r="BL31" s="3">
        <f>Track_Profile!H39</f>
        <v>38</v>
      </c>
    </row>
    <row r="32" spans="48:64">
      <c r="AV32" s="3">
        <f t="shared" si="1"/>
        <v>28</v>
      </c>
      <c r="AX32" s="3">
        <f t="shared" si="2"/>
        <v>2482.6208920325121</v>
      </c>
      <c r="BA32" s="5">
        <f>Energy_Balance!G33</f>
        <v>5315.3378205940598</v>
      </c>
      <c r="BB32" s="16">
        <f>Track_Profile!F40</f>
        <v>1.0100000000000002</v>
      </c>
      <c r="BE32" s="3">
        <f>Solar_Model!E32</f>
        <v>1182.588</v>
      </c>
      <c r="BG32" s="3">
        <f>Energy_Balance!F33</f>
        <v>-4.6429630743591419</v>
      </c>
      <c r="BH32" s="3">
        <f>Track_Profile!F40</f>
        <v>1.0100000000000002</v>
      </c>
      <c r="BJ32" s="3">
        <f>Energy_Model!H33</f>
        <v>2482.6208920325121</v>
      </c>
      <c r="BK32" s="3">
        <f t="shared" si="0"/>
        <v>1.0100000000000002</v>
      </c>
      <c r="BL32" s="3">
        <f>Track_Profile!H40</f>
        <v>28</v>
      </c>
    </row>
    <row r="33" spans="48:64">
      <c r="AV33" s="3">
        <f t="shared" si="1"/>
        <v>28</v>
      </c>
      <c r="AX33" s="3">
        <f t="shared" si="2"/>
        <v>2482.6208920325121</v>
      </c>
      <c r="BA33" s="5">
        <f>Energy_Balance!G34</f>
        <v>5311.1591538271368</v>
      </c>
      <c r="BB33" s="16">
        <f>Track_Profile!F41</f>
        <v>1.1000000000000003</v>
      </c>
      <c r="BE33" s="3">
        <f>Solar_Model!E33</f>
        <v>1182.588</v>
      </c>
      <c r="BG33" s="3">
        <f>Energy_Balance!F34</f>
        <v>-4.1786667669232287</v>
      </c>
      <c r="BH33" s="3">
        <f>Track_Profile!F41</f>
        <v>1.1000000000000003</v>
      </c>
      <c r="BJ33" s="3">
        <f>Energy_Model!H34</f>
        <v>2482.6208920325121</v>
      </c>
      <c r="BK33" s="3">
        <f t="shared" si="0"/>
        <v>1.1000000000000003</v>
      </c>
      <c r="BL33" s="3">
        <f>Track_Profile!H41</f>
        <v>28</v>
      </c>
    </row>
    <row r="34" spans="48:64">
      <c r="AV34" s="3">
        <f t="shared" si="1"/>
        <v>32</v>
      </c>
      <c r="AX34" s="3">
        <f t="shared" si="2"/>
        <v>3608.405707337728</v>
      </c>
      <c r="BA34" s="5">
        <f>Energy_Balance!G35</f>
        <v>5303.5784923333722</v>
      </c>
      <c r="BB34" s="16">
        <f>Track_Profile!F42</f>
        <v>1.2000000000000004</v>
      </c>
      <c r="BE34" s="3">
        <f>Solar_Model!E34</f>
        <v>1182.588</v>
      </c>
      <c r="BG34" s="3">
        <f>Energy_Balance!F35</f>
        <v>-7.5806614937648877</v>
      </c>
      <c r="BH34" s="3">
        <f>Track_Profile!F42</f>
        <v>1.2000000000000004</v>
      </c>
      <c r="BJ34" s="3">
        <f>Energy_Model!H35</f>
        <v>3608.405707337728</v>
      </c>
      <c r="BK34" s="3">
        <f t="shared" si="0"/>
        <v>1.2000000000000004</v>
      </c>
      <c r="BL34" s="3">
        <f>Track_Profile!H42</f>
        <v>32</v>
      </c>
    </row>
    <row r="35" spans="48:64">
      <c r="AV35" s="3">
        <f t="shared" si="1"/>
        <v>28</v>
      </c>
      <c r="AX35" s="3">
        <f t="shared" si="2"/>
        <v>2482.6208920325121</v>
      </c>
      <c r="BA35" s="5">
        <f>Energy_Balance!G36</f>
        <v>5300.3284181813206</v>
      </c>
      <c r="BB35" s="16">
        <f>Track_Profile!F43</f>
        <v>1.2700000000000005</v>
      </c>
      <c r="BE35" s="3">
        <f>Solar_Model!E35</f>
        <v>1182.588</v>
      </c>
      <c r="BG35" s="3">
        <f>Energy_Balance!F36</f>
        <v>-3.2500741520513996</v>
      </c>
      <c r="BH35" s="3">
        <f>Track_Profile!F43</f>
        <v>1.2700000000000005</v>
      </c>
      <c r="BJ35" s="3">
        <f>Energy_Model!H36</f>
        <v>2482.6208920325121</v>
      </c>
      <c r="BK35" s="3">
        <f t="shared" si="0"/>
        <v>1.2700000000000005</v>
      </c>
      <c r="BL35" s="3">
        <f>Track_Profile!H43</f>
        <v>28</v>
      </c>
    </row>
    <row r="36" spans="48:64">
      <c r="AV36" s="3">
        <f t="shared" si="1"/>
        <v>38</v>
      </c>
      <c r="AX36" s="3">
        <f t="shared" si="2"/>
        <v>5887.4752694475519</v>
      </c>
      <c r="BA36" s="5">
        <f>Energy_Balance!G37</f>
        <v>5282.9946660609767</v>
      </c>
      <c r="BB36" s="16">
        <f>Track_Profile!F44</f>
        <v>1.4100000000000006</v>
      </c>
      <c r="BE36" s="3">
        <f>Solar_Model!E36</f>
        <v>1182.588</v>
      </c>
      <c r="BG36" s="3">
        <f>Energy_Balance!F37</f>
        <v>-17.333752120343856</v>
      </c>
      <c r="BH36" s="3">
        <f>Track_Profile!F44</f>
        <v>1.4100000000000006</v>
      </c>
      <c r="BJ36" s="3">
        <f>Energy_Model!H37</f>
        <v>5887.4752694475519</v>
      </c>
      <c r="BK36" s="3">
        <f t="shared" ref="BK36:BK67" si="3">BH36</f>
        <v>1.4100000000000006</v>
      </c>
      <c r="BL36" s="3">
        <f>Track_Profile!H44</f>
        <v>38</v>
      </c>
    </row>
    <row r="37" spans="48:64">
      <c r="AV37" s="3">
        <f t="shared" si="1"/>
        <v>28</v>
      </c>
      <c r="AX37" s="3">
        <f t="shared" si="2"/>
        <v>2482.6208920325121</v>
      </c>
      <c r="BA37" s="5">
        <f>Energy_Balance!G38</f>
        <v>5279.744591908925</v>
      </c>
      <c r="BB37" s="16">
        <f>Track_Profile!F45</f>
        <v>1.4800000000000006</v>
      </c>
      <c r="BE37" s="3">
        <f>Solar_Model!E37</f>
        <v>1182.588</v>
      </c>
      <c r="BG37" s="3">
        <f>Energy_Balance!F38</f>
        <v>-3.2500741520513996</v>
      </c>
      <c r="BH37" s="3">
        <f>Track_Profile!F45</f>
        <v>1.4800000000000006</v>
      </c>
      <c r="BJ37" s="3">
        <f>Energy_Model!H38</f>
        <v>2482.6208920325121</v>
      </c>
      <c r="BK37" s="3">
        <f t="shared" si="3"/>
        <v>1.4800000000000006</v>
      </c>
      <c r="BL37" s="3">
        <f>Track_Profile!H45</f>
        <v>28</v>
      </c>
    </row>
    <row r="38" spans="48:64">
      <c r="AV38" s="3">
        <f t="shared" si="1"/>
        <v>28</v>
      </c>
      <c r="AX38" s="3">
        <f t="shared" si="2"/>
        <v>2482.6208920325121</v>
      </c>
      <c r="BA38" s="5">
        <f>Energy_Balance!G39</f>
        <v>5276.95881406431</v>
      </c>
      <c r="BB38" s="16">
        <f>Track_Profile!F46</f>
        <v>1.5400000000000007</v>
      </c>
      <c r="BE38" s="3">
        <f>Solar_Model!E38</f>
        <v>1182.588</v>
      </c>
      <c r="BG38" s="3">
        <f>Energy_Balance!F39</f>
        <v>-2.7857778446154846</v>
      </c>
      <c r="BH38" s="3">
        <f>Track_Profile!F46</f>
        <v>1.5400000000000007</v>
      </c>
      <c r="BJ38" s="3">
        <f>Energy_Model!H39</f>
        <v>2482.6208920325121</v>
      </c>
      <c r="BK38" s="3">
        <f t="shared" si="3"/>
        <v>1.5400000000000007</v>
      </c>
      <c r="BL38" s="3">
        <f>Track_Profile!H46</f>
        <v>28</v>
      </c>
    </row>
    <row r="39" spans="48:64">
      <c r="AV39" s="3">
        <f t="shared" si="1"/>
        <v>36</v>
      </c>
      <c r="AX39" s="3">
        <f t="shared" si="2"/>
        <v>5042.6403977917435</v>
      </c>
      <c r="BA39" s="5">
        <f>Energy_Balance!G40</f>
        <v>5269.4531752793564</v>
      </c>
      <c r="BB39" s="16">
        <f>Track_Profile!F47</f>
        <v>1.6100000000000008</v>
      </c>
      <c r="BE39" s="3">
        <f>Solar_Model!E39</f>
        <v>1182.588</v>
      </c>
      <c r="BG39" s="3">
        <f>Energy_Balance!F40</f>
        <v>-7.5056387849533648</v>
      </c>
      <c r="BH39" s="3">
        <f>Track_Profile!F47</f>
        <v>1.6100000000000008</v>
      </c>
      <c r="BJ39" s="3">
        <f>Energy_Model!H40</f>
        <v>5042.6403977917435</v>
      </c>
      <c r="BK39" s="3">
        <f t="shared" si="3"/>
        <v>1.6100000000000008</v>
      </c>
      <c r="BL39" s="3">
        <f>Track_Profile!H47</f>
        <v>36</v>
      </c>
    </row>
    <row r="40" spans="48:64">
      <c r="AV40" s="3">
        <f t="shared" si="1"/>
        <v>34</v>
      </c>
      <c r="AX40" s="3">
        <f t="shared" si="2"/>
        <v>4960.8886782414083</v>
      </c>
      <c r="BA40" s="5">
        <f>Energy_Balance!G41</f>
        <v>5268.3419131360233</v>
      </c>
      <c r="BB40" s="16">
        <f>Track_Profile!F48</f>
        <v>1.6200000000000008</v>
      </c>
      <c r="BE40" s="3">
        <f>Solar_Model!E40</f>
        <v>1182.588</v>
      </c>
      <c r="BG40" s="3">
        <f>Energy_Balance!F41</f>
        <v>-1.1112621433331236</v>
      </c>
      <c r="BH40" s="3">
        <f>Track_Profile!F48</f>
        <v>1.6200000000000008</v>
      </c>
      <c r="BJ40" s="3">
        <f>Energy_Model!H41</f>
        <v>4960.8886782414083</v>
      </c>
      <c r="BK40" s="3">
        <f t="shared" si="3"/>
        <v>1.6200000000000008</v>
      </c>
      <c r="BL40" s="3">
        <f>Track_Profile!H48</f>
        <v>34</v>
      </c>
    </row>
    <row r="41" spans="48:64">
      <c r="AV41" s="3">
        <f t="shared" si="1"/>
        <v>32</v>
      </c>
      <c r="AX41" s="3">
        <f t="shared" si="2"/>
        <v>4881.5005303398402</v>
      </c>
      <c r="BA41" s="5">
        <f>Energy_Balance!G42</f>
        <v>5264.8741912578207</v>
      </c>
      <c r="BB41" s="16">
        <f>Track_Profile!F49</f>
        <v>1.6500000000000008</v>
      </c>
      <c r="BE41" s="3">
        <f>Solar_Model!E41</f>
        <v>1182.588</v>
      </c>
      <c r="BG41" s="3">
        <f>Energy_Balance!F42</f>
        <v>-3.4677218782022661</v>
      </c>
      <c r="BH41" s="3">
        <f>Track_Profile!F49</f>
        <v>1.6500000000000008</v>
      </c>
      <c r="BJ41" s="3">
        <f>Energy_Model!H42</f>
        <v>4881.5005303398402</v>
      </c>
      <c r="BK41" s="3">
        <f t="shared" si="3"/>
        <v>1.6500000000000008</v>
      </c>
      <c r="BL41" s="3">
        <f>Track_Profile!H49</f>
        <v>32</v>
      </c>
    </row>
    <row r="42" spans="48:64">
      <c r="AV42" s="3">
        <f t="shared" si="1"/>
        <v>26</v>
      </c>
      <c r="AX42" s="3">
        <f t="shared" si="2"/>
        <v>2023.348364312704</v>
      </c>
      <c r="BA42" s="5">
        <f>Energy_Balance!G43</f>
        <v>5264.227454123501</v>
      </c>
      <c r="BB42" s="16">
        <f>Track_Profile!F50</f>
        <v>1.6700000000000008</v>
      </c>
      <c r="BE42" s="3">
        <f>Solar_Model!E42</f>
        <v>1182.588</v>
      </c>
      <c r="BG42" s="3">
        <f>Energy_Balance!F43</f>
        <v>-0.64673713431971092</v>
      </c>
      <c r="BH42" s="3">
        <f>Track_Profile!F50</f>
        <v>1.6700000000000008</v>
      </c>
      <c r="BJ42" s="3">
        <f>Energy_Model!H43</f>
        <v>2023.348364312704</v>
      </c>
      <c r="BK42" s="3">
        <f t="shared" si="3"/>
        <v>1.6700000000000008</v>
      </c>
      <c r="BL42" s="3">
        <f>Track_Profile!H50</f>
        <v>26</v>
      </c>
    </row>
    <row r="43" spans="48:64">
      <c r="AV43" s="3">
        <f t="shared" si="1"/>
        <v>32</v>
      </c>
      <c r="AX43" s="3">
        <f t="shared" si="2"/>
        <v>4244.9531188387837</v>
      </c>
      <c r="BA43" s="5">
        <f>Energy_Balance!G44</f>
        <v>5263.2704674024453</v>
      </c>
      <c r="BB43" s="16">
        <f>Track_Profile!F51</f>
        <v>1.6800000000000008</v>
      </c>
      <c r="BE43" s="3">
        <f>Solar_Model!E43</f>
        <v>1182.588</v>
      </c>
      <c r="BG43" s="3">
        <f>Energy_Balance!F44</f>
        <v>-0.95698672105528881</v>
      </c>
      <c r="BH43" s="3">
        <f>Track_Profile!F51</f>
        <v>1.6800000000000008</v>
      </c>
      <c r="BJ43" s="3">
        <f>Energy_Model!H44</f>
        <v>4244.9531188387837</v>
      </c>
      <c r="BK43" s="3">
        <f t="shared" si="3"/>
        <v>1.6800000000000008</v>
      </c>
      <c r="BL43" s="3">
        <f>Track_Profile!H51</f>
        <v>32</v>
      </c>
    </row>
    <row r="44" spans="48:64">
      <c r="AV44" s="3">
        <f t="shared" si="1"/>
        <v>28</v>
      </c>
      <c r="AX44" s="3">
        <f t="shared" si="2"/>
        <v>4710.5368322862078</v>
      </c>
      <c r="BA44" s="5">
        <f>Energy_Balance!G45</f>
        <v>5262.0104888082942</v>
      </c>
      <c r="BB44" s="16">
        <f>Track_Profile!F52</f>
        <v>1.6900000000000008</v>
      </c>
      <c r="BE44" s="3">
        <f>Solar_Model!E44</f>
        <v>1182.588</v>
      </c>
      <c r="BG44" s="3">
        <f>Energy_Balance!F45</f>
        <v>-1.2599785941511139</v>
      </c>
      <c r="BH44" s="3">
        <f>Track_Profile!F52</f>
        <v>1.6900000000000008</v>
      </c>
      <c r="BJ44" s="3">
        <f>Energy_Model!H45</f>
        <v>4710.5368322862078</v>
      </c>
      <c r="BK44" s="3">
        <f t="shared" si="3"/>
        <v>1.6900000000000008</v>
      </c>
      <c r="BL44" s="3">
        <f>Track_Profile!H52</f>
        <v>28</v>
      </c>
    </row>
    <row r="45" spans="48:64">
      <c r="AV45" s="3">
        <f t="shared" si="1"/>
        <v>32</v>
      </c>
      <c r="AX45" s="3">
        <f t="shared" si="2"/>
        <v>4244.9531188387837</v>
      </c>
      <c r="BA45" s="5">
        <f>Energy_Balance!G46</f>
        <v>5261.0535020872385</v>
      </c>
      <c r="BB45" s="16">
        <f>Track_Profile!F53</f>
        <v>1.7000000000000008</v>
      </c>
      <c r="BE45" s="3">
        <f>Solar_Model!E45</f>
        <v>1182.588</v>
      </c>
      <c r="BG45" s="3">
        <f>Energy_Balance!F46</f>
        <v>-0.95698672105528881</v>
      </c>
      <c r="BH45" s="3">
        <f>Track_Profile!F53</f>
        <v>1.7000000000000008</v>
      </c>
      <c r="BJ45" s="3">
        <f>Energy_Model!H46</f>
        <v>4244.9531188387837</v>
      </c>
      <c r="BK45" s="3">
        <f t="shared" si="3"/>
        <v>1.7000000000000008</v>
      </c>
      <c r="BL45" s="3">
        <f>Track_Profile!H53</f>
        <v>32</v>
      </c>
    </row>
    <row r="46" spans="48:64">
      <c r="AV46" s="3">
        <f t="shared" si="1"/>
        <v>34</v>
      </c>
      <c r="AX46" s="3">
        <f t="shared" si="2"/>
        <v>4284.5570535215356</v>
      </c>
      <c r="BA46" s="5">
        <f>Energy_Balance!G47</f>
        <v>5259.2288189439296</v>
      </c>
      <c r="BB46" s="16">
        <f>Track_Profile!F54</f>
        <v>1.7200000000000009</v>
      </c>
      <c r="BE46" s="3">
        <f>Solar_Model!E46</f>
        <v>1182.588</v>
      </c>
      <c r="BG46" s="3">
        <f>Energy_Balance!F47</f>
        <v>-1.8246831433086463</v>
      </c>
      <c r="BH46" s="3">
        <f>Track_Profile!F54</f>
        <v>1.7200000000000009</v>
      </c>
      <c r="BJ46" s="3">
        <f>Energy_Model!H47</f>
        <v>4284.5570535215356</v>
      </c>
      <c r="BK46" s="3">
        <f t="shared" si="3"/>
        <v>1.7200000000000009</v>
      </c>
      <c r="BL46" s="3">
        <f>Track_Profile!H54</f>
        <v>34</v>
      </c>
    </row>
    <row r="47" spans="48:64">
      <c r="AV47" s="3">
        <f t="shared" si="1"/>
        <v>38</v>
      </c>
      <c r="AX47" s="3">
        <f t="shared" si="2"/>
        <v>5887.4752694475519</v>
      </c>
      <c r="BA47" s="5">
        <f>Energy_Balance!G48</f>
        <v>5248.0856925808512</v>
      </c>
      <c r="BB47" s="16">
        <f>Track_Profile!F55</f>
        <v>1.8100000000000009</v>
      </c>
      <c r="BE47" s="3">
        <f>Solar_Model!E47</f>
        <v>1182.588</v>
      </c>
      <c r="BG47" s="3">
        <f>Energy_Balance!F48</f>
        <v>-11.143126363078194</v>
      </c>
      <c r="BH47" s="3">
        <f>Track_Profile!F55</f>
        <v>1.8100000000000009</v>
      </c>
      <c r="BJ47" s="3">
        <f>Energy_Model!H48</f>
        <v>5887.4752694475519</v>
      </c>
      <c r="BK47" s="3">
        <f t="shared" si="3"/>
        <v>1.8100000000000009</v>
      </c>
      <c r="BL47" s="3">
        <f>Track_Profile!H55</f>
        <v>38</v>
      </c>
    </row>
    <row r="48" spans="48:64">
      <c r="AV48" s="3">
        <f t="shared" si="1"/>
        <v>38</v>
      </c>
      <c r="AX48" s="3">
        <f t="shared" si="2"/>
        <v>2863.8750648175355</v>
      </c>
      <c r="BA48" s="5">
        <f>Energy_Balance!G49</f>
        <v>5247.2008068513751</v>
      </c>
      <c r="BB48" s="16">
        <f>Track_Profile!F56</f>
        <v>1.830000000000001</v>
      </c>
      <c r="BE48" s="3">
        <f>Solar_Model!E48</f>
        <v>1182.588</v>
      </c>
      <c r="BG48" s="3">
        <f>Energy_Balance!F49</f>
        <v>-0.88488572947586508</v>
      </c>
      <c r="BH48" s="3">
        <f>Track_Profile!F56</f>
        <v>1.830000000000001</v>
      </c>
      <c r="BJ48" s="3">
        <f>Energy_Model!H49</f>
        <v>2863.8750648175355</v>
      </c>
      <c r="BK48" s="3">
        <f t="shared" si="3"/>
        <v>1.830000000000001</v>
      </c>
      <c r="BL48" s="3">
        <f>Track_Profile!H56</f>
        <v>38</v>
      </c>
    </row>
    <row r="49" spans="48:64">
      <c r="AV49" s="3">
        <f t="shared" si="1"/>
        <v>38</v>
      </c>
      <c r="AX49" s="3">
        <f t="shared" si="2"/>
        <v>5887.4752694475519</v>
      </c>
      <c r="BA49" s="5">
        <f>Energy_Balance!G50</f>
        <v>5224.9145541252183</v>
      </c>
      <c r="BB49" s="16">
        <f>Track_Profile!F57</f>
        <v>2.0100000000000011</v>
      </c>
      <c r="BE49" s="3">
        <f>Solar_Model!E49</f>
        <v>1182.588</v>
      </c>
      <c r="BG49" s="3">
        <f>Energy_Balance!F50</f>
        <v>-22.286252726156388</v>
      </c>
      <c r="BH49" s="3">
        <f>Track_Profile!F57</f>
        <v>2.0100000000000011</v>
      </c>
      <c r="BJ49" s="3">
        <f>Energy_Model!H50</f>
        <v>5887.4752694475519</v>
      </c>
      <c r="BK49" s="3">
        <f t="shared" si="3"/>
        <v>2.0100000000000011</v>
      </c>
      <c r="BL49" s="3">
        <f>Track_Profile!H57</f>
        <v>38</v>
      </c>
    </row>
    <row r="50" spans="48:64">
      <c r="AV50" s="3">
        <f t="shared" si="1"/>
        <v>32</v>
      </c>
      <c r="AX50" s="3">
        <f t="shared" si="2"/>
        <v>5518.0479418408959</v>
      </c>
      <c r="BA50" s="5">
        <f>Energy_Balance!G51</f>
        <v>5223.5597262608053</v>
      </c>
      <c r="BB50" s="16">
        <f>Track_Profile!F58</f>
        <v>2.0200000000000009</v>
      </c>
      <c r="BE50" s="3">
        <f>Solar_Model!E50</f>
        <v>1182.588</v>
      </c>
      <c r="BG50" s="3">
        <f>Energy_Balance!F51</f>
        <v>-1.3548278644128886</v>
      </c>
      <c r="BH50" s="3">
        <f>Track_Profile!F58</f>
        <v>2.0200000000000009</v>
      </c>
      <c r="BJ50" s="3">
        <f>Energy_Model!H51</f>
        <v>5518.0479418408959</v>
      </c>
      <c r="BK50" s="3">
        <f t="shared" si="3"/>
        <v>2.0200000000000009</v>
      </c>
      <c r="BL50" s="3">
        <f>Track_Profile!H58</f>
        <v>32</v>
      </c>
    </row>
    <row r="51" spans="48:64">
      <c r="AV51" s="3">
        <f t="shared" si="1"/>
        <v>34</v>
      </c>
      <c r="AX51" s="3">
        <f t="shared" si="2"/>
        <v>4960.8886782414083</v>
      </c>
      <c r="BA51" s="5">
        <f>Energy_Balance!G52</f>
        <v>5221.3372019741391</v>
      </c>
      <c r="BB51" s="16">
        <f>Track_Profile!F59</f>
        <v>2.0400000000000009</v>
      </c>
      <c r="BE51" s="3">
        <f>Solar_Model!E51</f>
        <v>1182.588</v>
      </c>
      <c r="BG51" s="3">
        <f>Energy_Balance!F52</f>
        <v>-2.2225242866662471</v>
      </c>
      <c r="BH51" s="3">
        <f>Track_Profile!F59</f>
        <v>2.0400000000000009</v>
      </c>
      <c r="BJ51" s="3">
        <f>Energy_Model!H52</f>
        <v>4960.8886782414083</v>
      </c>
      <c r="BK51" s="3">
        <f t="shared" si="3"/>
        <v>2.0400000000000009</v>
      </c>
      <c r="BL51" s="3">
        <f>Track_Profile!H59</f>
        <v>34</v>
      </c>
    </row>
    <row r="52" spans="48:64">
      <c r="AV52" s="3">
        <f t="shared" si="1"/>
        <v>36</v>
      </c>
      <c r="AX52" s="3">
        <f t="shared" si="2"/>
        <v>5042.6403977917435</v>
      </c>
      <c r="BA52" s="5">
        <f>Energy_Balance!G53</f>
        <v>5220.2649678620028</v>
      </c>
      <c r="BB52" s="16">
        <f>Track_Profile!F60</f>
        <v>2.0500000000000007</v>
      </c>
      <c r="BE52" s="3">
        <f>Solar_Model!E52</f>
        <v>1182.588</v>
      </c>
      <c r="BG52" s="3">
        <f>Energy_Balance!F53</f>
        <v>-1.0722341121361947</v>
      </c>
      <c r="BH52" s="3">
        <f>Track_Profile!F60</f>
        <v>2.0500000000000007</v>
      </c>
      <c r="BJ52" s="3">
        <f>Energy_Model!H53</f>
        <v>5042.6403977917435</v>
      </c>
      <c r="BK52" s="3">
        <f t="shared" si="3"/>
        <v>2.0500000000000007</v>
      </c>
      <c r="BL52" s="3">
        <f>Track_Profile!H60</f>
        <v>36</v>
      </c>
    </row>
    <row r="53" spans="48:64">
      <c r="AV53" s="3">
        <f t="shared" si="1"/>
        <v>28</v>
      </c>
      <c r="AX53" s="3">
        <f t="shared" si="2"/>
        <v>2482.6208920325121</v>
      </c>
      <c r="BA53" s="5">
        <f>Energy_Balance!G54</f>
        <v>5215.6220047876441</v>
      </c>
      <c r="BB53" s="16">
        <f>Track_Profile!F61</f>
        <v>2.1500000000000008</v>
      </c>
      <c r="BE53" s="3">
        <f>Solar_Model!E53</f>
        <v>1182.588</v>
      </c>
      <c r="BG53" s="3">
        <f>Energy_Balance!F54</f>
        <v>-4.6429630743591419</v>
      </c>
      <c r="BH53" s="3">
        <f>Track_Profile!F61</f>
        <v>2.1500000000000008</v>
      </c>
      <c r="BJ53" s="3">
        <f>Energy_Model!H54</f>
        <v>2482.6208920325121</v>
      </c>
      <c r="BK53" s="3">
        <f t="shared" si="3"/>
        <v>2.1500000000000008</v>
      </c>
      <c r="BL53" s="3">
        <f>Track_Profile!H61</f>
        <v>28</v>
      </c>
    </row>
    <row r="54" spans="48:64">
      <c r="AV54" s="3">
        <f t="shared" si="1"/>
        <v>38</v>
      </c>
      <c r="AX54" s="3">
        <f t="shared" si="2"/>
        <v>5887.4752694475519</v>
      </c>
      <c r="BA54" s="5">
        <f>Energy_Balance!G55</f>
        <v>5214.3838796361906</v>
      </c>
      <c r="BB54" s="16">
        <f>Track_Profile!F62</f>
        <v>2.1600000000000006</v>
      </c>
      <c r="BE54" s="3">
        <f>Solar_Model!E54</f>
        <v>1182.588</v>
      </c>
      <c r="BG54" s="3">
        <f>Energy_Balance!F55</f>
        <v>-1.2381251514531324</v>
      </c>
      <c r="BH54" s="3">
        <f>Track_Profile!F62</f>
        <v>2.1600000000000006</v>
      </c>
      <c r="BJ54" s="3">
        <f>Energy_Model!H55</f>
        <v>5887.4752694475519</v>
      </c>
      <c r="BK54" s="3">
        <f t="shared" si="3"/>
        <v>2.1600000000000006</v>
      </c>
      <c r="BL54" s="3">
        <f>Track_Profile!H62</f>
        <v>38</v>
      </c>
    </row>
    <row r="55" spans="48:64">
      <c r="AV55" s="3">
        <f t="shared" si="1"/>
        <v>36</v>
      </c>
      <c r="AX55" s="3">
        <f t="shared" si="2"/>
        <v>5758.7562357304323</v>
      </c>
      <c r="BA55" s="5">
        <f>Energy_Balance!G56</f>
        <v>5213.1127249523752</v>
      </c>
      <c r="BB55" s="16">
        <f>Track_Profile!F63</f>
        <v>2.1700000000000004</v>
      </c>
      <c r="BE55" s="3">
        <f>Solar_Model!E55</f>
        <v>1182.588</v>
      </c>
      <c r="BG55" s="3">
        <f>Energy_Balance!F56</f>
        <v>-1.2711546838149947</v>
      </c>
      <c r="BH55" s="3">
        <f>Track_Profile!F63</f>
        <v>2.1700000000000004</v>
      </c>
      <c r="BJ55" s="3">
        <f>Energy_Model!H56</f>
        <v>5758.7562357304323</v>
      </c>
      <c r="BK55" s="3">
        <f t="shared" si="3"/>
        <v>2.1700000000000004</v>
      </c>
      <c r="BL55" s="3">
        <f>Track_Profile!H63</f>
        <v>36</v>
      </c>
    </row>
    <row r="56" spans="48:64">
      <c r="AV56" s="3">
        <f t="shared" si="1"/>
        <v>34</v>
      </c>
      <c r="AX56" s="3">
        <f t="shared" si="2"/>
        <v>5637.2203029612792</v>
      </c>
      <c r="BA56" s="5">
        <f>Energy_Balance!G57</f>
        <v>5209.1821768073396</v>
      </c>
      <c r="BB56" s="16">
        <f>Track_Profile!F64</f>
        <v>2.2000000000000002</v>
      </c>
      <c r="BE56" s="3">
        <f>Solar_Model!E56</f>
        <v>1182.588</v>
      </c>
      <c r="BG56" s="3">
        <f>Energy_Balance!F57</f>
        <v>-3.93054814503577</v>
      </c>
      <c r="BH56" s="3">
        <f>Track_Profile!F64</f>
        <v>2.2000000000000002</v>
      </c>
      <c r="BJ56" s="3">
        <f>Energy_Model!H57</f>
        <v>5637.2203029612792</v>
      </c>
      <c r="BK56" s="3">
        <f t="shared" si="3"/>
        <v>2.2000000000000002</v>
      </c>
      <c r="BL56" s="3">
        <f>Track_Profile!H64</f>
        <v>34</v>
      </c>
    </row>
    <row r="57" spans="48:64">
      <c r="AV57" s="3">
        <f t="shared" si="1"/>
        <v>36</v>
      </c>
      <c r="AX57" s="3">
        <f t="shared" si="2"/>
        <v>5042.6403977917435</v>
      </c>
      <c r="BA57" s="5">
        <f>Energy_Balance!G58</f>
        <v>5208.1099426952032</v>
      </c>
      <c r="BB57" s="16">
        <f>Track_Profile!F65</f>
        <v>2.21</v>
      </c>
      <c r="BE57" s="3">
        <f>Solar_Model!E57</f>
        <v>1182.588</v>
      </c>
      <c r="BG57" s="3">
        <f>Energy_Balance!F58</f>
        <v>-1.0722341121361947</v>
      </c>
      <c r="BH57" s="3">
        <f>Track_Profile!F65</f>
        <v>2.21</v>
      </c>
      <c r="BJ57" s="3">
        <f>Energy_Model!H58</f>
        <v>5042.6403977917435</v>
      </c>
      <c r="BK57" s="3">
        <f t="shared" si="3"/>
        <v>2.21</v>
      </c>
      <c r="BL57" s="3">
        <f>Track_Profile!H65</f>
        <v>36</v>
      </c>
    </row>
    <row r="58" spans="48:64">
      <c r="AV58" s="3">
        <f t="shared" si="1"/>
        <v>38</v>
      </c>
      <c r="AX58" s="3">
        <f t="shared" si="2"/>
        <v>3619.7751159750396</v>
      </c>
      <c r="BA58" s="5">
        <f>Energy_Balance!G59</f>
        <v>5206.8272158223699</v>
      </c>
      <c r="BB58" s="16">
        <f>Track_Profile!F66</f>
        <v>2.23</v>
      </c>
      <c r="BE58" s="3">
        <f>Solar_Model!E58</f>
        <v>1182.588</v>
      </c>
      <c r="BG58" s="3">
        <f>Energy_Balance!F59</f>
        <v>-1.2827268728334649</v>
      </c>
      <c r="BH58" s="3">
        <f>Track_Profile!F66</f>
        <v>2.23</v>
      </c>
      <c r="BJ58" s="3">
        <f>Energy_Model!H59</f>
        <v>3619.7751159750396</v>
      </c>
      <c r="BK58" s="3">
        <f t="shared" si="3"/>
        <v>2.23</v>
      </c>
      <c r="BL58" s="3">
        <f>Track_Profile!H66</f>
        <v>38</v>
      </c>
    </row>
    <row r="59" spans="48:64">
      <c r="AV59" s="3">
        <f t="shared" si="1"/>
        <v>38</v>
      </c>
      <c r="AX59" s="3">
        <f t="shared" si="2"/>
        <v>4375.6751671325437</v>
      </c>
      <c r="BA59" s="5">
        <f>Energy_Balance!G60</f>
        <v>5205.9869318142746</v>
      </c>
      <c r="BB59" s="16">
        <f>Track_Profile!F67</f>
        <v>2.2399999999999998</v>
      </c>
      <c r="BE59" s="3">
        <f>Solar_Model!E59</f>
        <v>1182.588</v>
      </c>
      <c r="BG59" s="3">
        <f>Energy_Balance!F60</f>
        <v>-0.8402840080955325</v>
      </c>
      <c r="BH59" s="3">
        <f>Track_Profile!F67</f>
        <v>2.2399999999999998</v>
      </c>
      <c r="BJ59" s="3">
        <f>Energy_Model!H60</f>
        <v>4375.6751671325437</v>
      </c>
      <c r="BK59" s="3">
        <f t="shared" si="3"/>
        <v>2.2399999999999998</v>
      </c>
      <c r="BL59" s="3">
        <f>Track_Profile!H67</f>
        <v>38</v>
      </c>
    </row>
    <row r="60" spans="48:64">
      <c r="AV60" s="3">
        <f t="shared" si="1"/>
        <v>34</v>
      </c>
      <c r="AX60" s="3">
        <f t="shared" si="2"/>
        <v>4284.5570535215356</v>
      </c>
      <c r="BA60" s="5">
        <f>Energy_Balance!G61</f>
        <v>5205.0745902426206</v>
      </c>
      <c r="BB60" s="16">
        <f>Track_Profile!F68</f>
        <v>2.2499999999999996</v>
      </c>
      <c r="BE60" s="3">
        <f>Solar_Model!E60</f>
        <v>1182.588</v>
      </c>
      <c r="BG60" s="3">
        <f>Energy_Balance!F61</f>
        <v>-0.91234157165432317</v>
      </c>
      <c r="BH60" s="3">
        <f>Track_Profile!F68</f>
        <v>2.2499999999999996</v>
      </c>
      <c r="BJ60" s="3">
        <f>Energy_Model!H61</f>
        <v>4284.5570535215356</v>
      </c>
      <c r="BK60" s="3">
        <f t="shared" si="3"/>
        <v>2.2499999999999996</v>
      </c>
      <c r="BL60" s="3">
        <f>Track_Profile!H68</f>
        <v>34</v>
      </c>
    </row>
    <row r="61" spans="48:64">
      <c r="AV61" s="3">
        <f t="shared" si="1"/>
        <v>35</v>
      </c>
      <c r="AX61" s="3">
        <f t="shared" si="2"/>
        <v>6045.5034679731998</v>
      </c>
      <c r="BA61" s="5">
        <f>Energy_Balance!G62</f>
        <v>5203.6851892765435</v>
      </c>
      <c r="BB61" s="16">
        <f>Track_Profile!F69</f>
        <v>2.2599999999999993</v>
      </c>
      <c r="BE61" s="3">
        <f>Solar_Model!E61</f>
        <v>1182.588</v>
      </c>
      <c r="BG61" s="3">
        <f>Energy_Balance!F62</f>
        <v>-1.3894009660773918</v>
      </c>
      <c r="BH61" s="3">
        <f>Track_Profile!F69</f>
        <v>2.2599999999999993</v>
      </c>
      <c r="BJ61" s="3">
        <f>Energy_Model!H62</f>
        <v>6045.5034679731998</v>
      </c>
      <c r="BK61" s="3">
        <f t="shared" si="3"/>
        <v>2.2599999999999993</v>
      </c>
      <c r="BL61" s="3">
        <f>Track_Profile!H69</f>
        <v>35</v>
      </c>
    </row>
    <row r="62" spans="48:64">
      <c r="AV62" s="3">
        <f t="shared" si="1"/>
        <v>34</v>
      </c>
      <c r="AX62" s="3">
        <f t="shared" si="2"/>
        <v>4284.5570535215356</v>
      </c>
      <c r="BA62" s="5">
        <f>Energy_Balance!G63</f>
        <v>5196.3864567033088</v>
      </c>
      <c r="BB62" s="16">
        <f>Track_Profile!F70</f>
        <v>2.3399999999999994</v>
      </c>
      <c r="BE62" s="3">
        <f>Solar_Model!E62</f>
        <v>1182.588</v>
      </c>
      <c r="BG62" s="3">
        <f>Energy_Balance!F63</f>
        <v>-7.2987325732345854</v>
      </c>
      <c r="BH62" s="3">
        <f>Track_Profile!F70</f>
        <v>2.3399999999999994</v>
      </c>
      <c r="BJ62" s="3">
        <f>Energy_Model!H63</f>
        <v>4284.5570535215356</v>
      </c>
      <c r="BK62" s="3">
        <f t="shared" si="3"/>
        <v>2.3399999999999994</v>
      </c>
      <c r="BL62" s="3">
        <f>Track_Profile!H70</f>
        <v>34</v>
      </c>
    </row>
    <row r="63" spans="48:64">
      <c r="AV63" s="3">
        <f t="shared" si="1"/>
        <v>32</v>
      </c>
      <c r="AX63" s="3">
        <f t="shared" si="2"/>
        <v>4881.5005303398402</v>
      </c>
      <c r="BA63" s="5">
        <f>Energy_Balance!G64</f>
        <v>5195.2305494105749</v>
      </c>
      <c r="BB63" s="16">
        <f>Track_Profile!F71</f>
        <v>2.3499999999999992</v>
      </c>
      <c r="BE63" s="3">
        <f>Solar_Model!E63</f>
        <v>1182.588</v>
      </c>
      <c r="BG63" s="3">
        <f>Energy_Balance!F64</f>
        <v>-1.155907292734089</v>
      </c>
      <c r="BH63" s="3">
        <f>Track_Profile!F71</f>
        <v>2.3499999999999992</v>
      </c>
      <c r="BJ63" s="3">
        <f>Energy_Model!H64</f>
        <v>4881.5005303398402</v>
      </c>
      <c r="BK63" s="3">
        <f t="shared" si="3"/>
        <v>2.3499999999999992</v>
      </c>
      <c r="BL63" s="3">
        <f>Track_Profile!H71</f>
        <v>32</v>
      </c>
    </row>
    <row r="64" spans="48:64">
      <c r="AV64" s="3">
        <f t="shared" si="1"/>
        <v>31</v>
      </c>
      <c r="AX64" s="3">
        <f t="shared" si="2"/>
        <v>2682.8931257305762</v>
      </c>
      <c r="BA64" s="5">
        <f>Energy_Balance!G65</f>
        <v>5194.7465812180762</v>
      </c>
      <c r="BB64" s="16">
        <f>Track_Profile!F72</f>
        <v>2.359999999999999</v>
      </c>
      <c r="BE64" s="3">
        <f>Solar_Model!E64</f>
        <v>1182.588</v>
      </c>
      <c r="BG64" s="3">
        <f>Energy_Balance!F65</f>
        <v>-0.48396819249839912</v>
      </c>
      <c r="BH64" s="3">
        <f>Track_Profile!F72</f>
        <v>2.359999999999999</v>
      </c>
      <c r="BJ64" s="3">
        <f>Energy_Model!H65</f>
        <v>2682.8931257305762</v>
      </c>
      <c r="BK64" s="3">
        <f t="shared" si="3"/>
        <v>2.359999999999999</v>
      </c>
      <c r="BL64" s="3">
        <f>Track_Profile!H72</f>
        <v>31</v>
      </c>
    </row>
    <row r="65" spans="48:64">
      <c r="AV65" s="3">
        <f t="shared" si="1"/>
        <v>32</v>
      </c>
      <c r="AX65" s="3">
        <f t="shared" si="2"/>
        <v>3608.405707337728</v>
      </c>
      <c r="BA65" s="5">
        <f>Energy_Balance!G66</f>
        <v>5183.3755889774293</v>
      </c>
      <c r="BB65" s="16">
        <f>Track_Profile!F73</f>
        <v>2.5099999999999989</v>
      </c>
      <c r="BE65" s="3">
        <f>Solar_Model!E65</f>
        <v>1182.588</v>
      </c>
      <c r="BG65" s="3">
        <f>Energy_Balance!F66</f>
        <v>-11.370992240647332</v>
      </c>
      <c r="BH65" s="3">
        <f>Track_Profile!F73</f>
        <v>2.5099999999999989</v>
      </c>
      <c r="BJ65" s="3">
        <f>Energy_Model!H66</f>
        <v>3608.405707337728</v>
      </c>
      <c r="BK65" s="3">
        <f t="shared" si="3"/>
        <v>2.5099999999999989</v>
      </c>
      <c r="BL65" s="3">
        <f>Track_Profile!H73</f>
        <v>32</v>
      </c>
    </row>
    <row r="66" spans="48:64">
      <c r="AV66" s="3">
        <f t="shared" si="1"/>
        <v>33</v>
      </c>
      <c r="AX66" s="3">
        <f t="shared" si="2"/>
        <v>4592.9806193604963</v>
      </c>
      <c r="BA66" s="5">
        <f>Energy_Balance!G67</f>
        <v>5182.342139237162</v>
      </c>
      <c r="BB66" s="16">
        <f>Track_Profile!F74</f>
        <v>2.5199999999999987</v>
      </c>
      <c r="BE66" s="3">
        <f>Solar_Model!E66</f>
        <v>1182.588</v>
      </c>
      <c r="BG66" s="3">
        <f>Energy_Balance!F67</f>
        <v>-1.033449740267147</v>
      </c>
      <c r="BH66" s="3">
        <f>Track_Profile!F74</f>
        <v>2.5199999999999987</v>
      </c>
      <c r="BJ66" s="3">
        <f>Energy_Model!H67</f>
        <v>4592.9806193604963</v>
      </c>
      <c r="BK66" s="3">
        <f t="shared" si="3"/>
        <v>2.5199999999999987</v>
      </c>
      <c r="BL66" s="3">
        <f>Track_Profile!H74</f>
        <v>33</v>
      </c>
    </row>
    <row r="67" spans="48:64">
      <c r="AV67" s="3">
        <f t="shared" si="1"/>
        <v>34</v>
      </c>
      <c r="AX67" s="3">
        <f t="shared" si="2"/>
        <v>6989.8835524010246</v>
      </c>
      <c r="BA67" s="5">
        <f>Energy_Balance!G68</f>
        <v>5180.6341153787926</v>
      </c>
      <c r="BB67" s="16">
        <f>Track_Profile!F75</f>
        <v>2.5299999999999985</v>
      </c>
      <c r="BE67" s="3">
        <f>Solar_Model!E67</f>
        <v>1182.588</v>
      </c>
      <c r="BG67" s="3">
        <f>Energy_Balance!F68</f>
        <v>-1.7080238583695233</v>
      </c>
      <c r="BH67" s="3">
        <f>Track_Profile!F75</f>
        <v>2.5299999999999985</v>
      </c>
      <c r="BJ67" s="3">
        <f>Energy_Model!H68</f>
        <v>6989.8835524010246</v>
      </c>
      <c r="BK67" s="3">
        <f t="shared" si="3"/>
        <v>2.5299999999999985</v>
      </c>
      <c r="BL67" s="3">
        <f>Track_Profile!H75</f>
        <v>34</v>
      </c>
    </row>
    <row r="68" spans="48:64">
      <c r="AV68" s="3">
        <f t="shared" si="1"/>
        <v>35</v>
      </c>
      <c r="AX68" s="3">
        <f t="shared" si="2"/>
        <v>4653.0560053146401</v>
      </c>
      <c r="BA68" s="5">
        <f>Energy_Balance!G69</f>
        <v>5178.6509957333528</v>
      </c>
      <c r="BB68" s="16">
        <f>Track_Profile!F76</f>
        <v>2.5499999999999985</v>
      </c>
      <c r="BE68" s="3">
        <f>Solar_Model!E68</f>
        <v>1182.588</v>
      </c>
      <c r="BG68" s="3">
        <f>Energy_Balance!F69</f>
        <v>-1.9831196454395834</v>
      </c>
      <c r="BH68" s="3">
        <f>Track_Profile!F76</f>
        <v>2.5499999999999985</v>
      </c>
      <c r="BJ68" s="3">
        <f>Energy_Model!H69</f>
        <v>4653.0560053146401</v>
      </c>
      <c r="BK68" s="3">
        <f t="shared" ref="BK68:BK84" si="4">BH68</f>
        <v>2.5499999999999985</v>
      </c>
      <c r="BL68" s="3">
        <f>Track_Profile!H76</f>
        <v>35</v>
      </c>
    </row>
    <row r="69" spans="48:64">
      <c r="AV69" s="3">
        <f t="shared" ref="AV69:AV84" si="5">BL69</f>
        <v>34</v>
      </c>
      <c r="AX69" s="3">
        <f t="shared" ref="AX69:AX84" si="6">BJ69</f>
        <v>2255.5621793619198</v>
      </c>
      <c r="BA69" s="5">
        <f>Energy_Balance!G70</f>
        <v>5177.7042561634989</v>
      </c>
      <c r="BB69" s="16">
        <f>Track_Profile!F77</f>
        <v>2.5799999999999983</v>
      </c>
      <c r="BE69" s="3">
        <f>Solar_Model!E69</f>
        <v>1182.588</v>
      </c>
      <c r="BG69" s="3">
        <f>Energy_Balance!F70</f>
        <v>-0.94673956985376995</v>
      </c>
      <c r="BH69" s="3">
        <f>Track_Profile!F77</f>
        <v>2.5799999999999983</v>
      </c>
      <c r="BJ69" s="3">
        <f>Energy_Model!H70</f>
        <v>2255.5621793619198</v>
      </c>
      <c r="BK69" s="3">
        <f t="shared" si="4"/>
        <v>2.5799999999999983</v>
      </c>
      <c r="BL69" s="3">
        <f>Track_Profile!H77</f>
        <v>34</v>
      </c>
    </row>
    <row r="70" spans="48:64">
      <c r="AV70" s="3">
        <f t="shared" si="5"/>
        <v>32</v>
      </c>
      <c r="AX70" s="3">
        <f t="shared" si="6"/>
        <v>3608.405707337728</v>
      </c>
      <c r="BA70" s="5">
        <f>Energy_Balance!G71</f>
        <v>5166.333263922852</v>
      </c>
      <c r="BB70" s="16">
        <f>Track_Profile!F78</f>
        <v>2.7299999999999982</v>
      </c>
      <c r="BE70" s="3">
        <f>Solar_Model!E70</f>
        <v>1182.588</v>
      </c>
      <c r="BG70" s="3">
        <f>Energy_Balance!F71</f>
        <v>-11.370992240647332</v>
      </c>
      <c r="BH70" s="3">
        <f>Track_Profile!F78</f>
        <v>2.7299999999999982</v>
      </c>
      <c r="BJ70" s="3">
        <f>Energy_Model!H71</f>
        <v>3608.405707337728</v>
      </c>
      <c r="BK70" s="3">
        <f t="shared" si="4"/>
        <v>2.7299999999999982</v>
      </c>
      <c r="BL70" s="3">
        <f>Track_Profile!H78</f>
        <v>32</v>
      </c>
    </row>
    <row r="71" spans="48:64">
      <c r="AV71" s="3">
        <f t="shared" si="5"/>
        <v>31</v>
      </c>
      <c r="AX71" s="3">
        <f t="shared" si="6"/>
        <v>1449.5825159472804</v>
      </c>
      <c r="BA71" s="5">
        <f>Energy_Balance!G72</f>
        <v>5166.2471368737115</v>
      </c>
      <c r="BB71" s="16">
        <f>Track_Profile!F79</f>
        <v>2.739999999999998</v>
      </c>
      <c r="BE71" s="3">
        <f>Solar_Model!E71</f>
        <v>1182.588</v>
      </c>
      <c r="BG71" s="3">
        <f>Energy_Balance!F72</f>
        <v>-8.6127049140799161E-2</v>
      </c>
      <c r="BH71" s="3">
        <f>Track_Profile!F79</f>
        <v>2.739999999999998</v>
      </c>
      <c r="BJ71" s="3">
        <f>Energy_Model!H72</f>
        <v>1449.5825159472804</v>
      </c>
      <c r="BK71" s="3">
        <f t="shared" si="4"/>
        <v>2.739999999999998</v>
      </c>
      <c r="BL71" s="3">
        <f>Track_Profile!H79</f>
        <v>31</v>
      </c>
    </row>
    <row r="72" spans="48:64">
      <c r="AV72" s="3">
        <f t="shared" si="5"/>
        <v>30</v>
      </c>
      <c r="AX72" s="3">
        <f t="shared" si="6"/>
        <v>2412.6036316588797</v>
      </c>
      <c r="BA72" s="5">
        <f>Energy_Balance!G73</f>
        <v>5165.427128490729</v>
      </c>
      <c r="BB72" s="16">
        <f>Track_Profile!F80</f>
        <v>2.759999999999998</v>
      </c>
      <c r="BE72" s="3">
        <f>Solar_Model!E72</f>
        <v>1182.588</v>
      </c>
      <c r="BG72" s="3">
        <f>Energy_Balance!F73</f>
        <v>-0.82000838298250778</v>
      </c>
      <c r="BH72" s="3">
        <f>Track_Profile!F80</f>
        <v>2.759999999999998</v>
      </c>
      <c r="BJ72" s="3">
        <f>Energy_Model!H73</f>
        <v>2412.6036316588797</v>
      </c>
      <c r="BK72" s="3">
        <f t="shared" si="4"/>
        <v>2.759999999999998</v>
      </c>
      <c r="BL72" s="3">
        <f>Track_Profile!H80</f>
        <v>30</v>
      </c>
    </row>
    <row r="73" spans="48:64">
      <c r="AV73" s="3">
        <f t="shared" si="5"/>
        <v>28</v>
      </c>
      <c r="AX73" s="3">
        <f t="shared" si="6"/>
        <v>3039.5998770959359</v>
      </c>
      <c r="BA73" s="5">
        <f>Energy_Balance!G74</f>
        <v>5164.7639116116143</v>
      </c>
      <c r="BB73" s="16">
        <f>Track_Profile!F81</f>
        <v>2.7699999999999978</v>
      </c>
      <c r="BE73" s="3">
        <f>Solar_Model!E73</f>
        <v>1182.588</v>
      </c>
      <c r="BG73" s="3">
        <f>Energy_Balance!F74</f>
        <v>-0.66321687911471394</v>
      </c>
      <c r="BH73" s="3">
        <f>Track_Profile!F81</f>
        <v>2.7699999999999978</v>
      </c>
      <c r="BJ73" s="3">
        <f>Energy_Model!H74</f>
        <v>3039.5998770959359</v>
      </c>
      <c r="BK73" s="3">
        <f t="shared" si="4"/>
        <v>2.7699999999999978</v>
      </c>
      <c r="BL73" s="3">
        <f>Track_Profile!H81</f>
        <v>28</v>
      </c>
    </row>
    <row r="74" spans="48:64">
      <c r="AV74" s="3">
        <f t="shared" si="5"/>
        <v>26</v>
      </c>
      <c r="AX74" s="3">
        <f t="shared" si="6"/>
        <v>3057.73790800192</v>
      </c>
      <c r="BA74" s="5">
        <f>Energy_Balance!G75</f>
        <v>5161.8790727695441</v>
      </c>
      <c r="BB74" s="16">
        <f>Track_Profile!F82</f>
        <v>2.8099999999999978</v>
      </c>
      <c r="BE74" s="3">
        <f>Solar_Model!E74</f>
        <v>1182.588</v>
      </c>
      <c r="BG74" s="3">
        <f>Energy_Balance!F75</f>
        <v>-2.8848388420698221</v>
      </c>
      <c r="BH74" s="3">
        <f>Track_Profile!F82</f>
        <v>2.8099999999999978</v>
      </c>
      <c r="BJ74" s="3">
        <f>Energy_Model!H75</f>
        <v>3057.73790800192</v>
      </c>
      <c r="BK74" s="3">
        <f t="shared" si="4"/>
        <v>2.8099999999999978</v>
      </c>
      <c r="BL74" s="3">
        <f>Track_Profile!H82</f>
        <v>26</v>
      </c>
    </row>
    <row r="75" spans="48:64">
      <c r="AV75" s="3">
        <f t="shared" si="5"/>
        <v>25</v>
      </c>
      <c r="AX75" s="3">
        <f t="shared" si="6"/>
        <v>822.90319589720002</v>
      </c>
      <c r="BA75" s="5">
        <f>Energy_Balance!G76</f>
        <v>5162.0229463335891</v>
      </c>
      <c r="BB75" s="16">
        <f>Track_Profile!F83</f>
        <v>2.8199999999999976</v>
      </c>
      <c r="BE75" s="3">
        <f>Solar_Model!E75</f>
        <v>1182.588</v>
      </c>
      <c r="BG75" s="3">
        <f>Energy_Balance!F76</f>
        <v>0.14387356404467905</v>
      </c>
      <c r="BH75" s="3">
        <f>Track_Profile!F83</f>
        <v>2.8199999999999976</v>
      </c>
      <c r="BJ75" s="3">
        <f>Energy_Model!H76</f>
        <v>822.90319589720002</v>
      </c>
      <c r="BK75" s="3">
        <f t="shared" si="4"/>
        <v>2.8199999999999976</v>
      </c>
      <c r="BL75" s="3">
        <f>Track_Profile!H83</f>
        <v>25</v>
      </c>
    </row>
    <row r="76" spans="48:64">
      <c r="AV76" s="3">
        <f t="shared" si="5"/>
        <v>22</v>
      </c>
      <c r="AX76" s="3">
        <f t="shared" si="6"/>
        <v>850.31907683571217</v>
      </c>
      <c r="BA76" s="5">
        <f>Energy_Balance!G77</f>
        <v>5162.3250082402392</v>
      </c>
      <c r="BB76" s="16">
        <f>Track_Profile!F84</f>
        <v>2.8399999999999976</v>
      </c>
      <c r="BE76" s="3">
        <f>Solar_Model!E76</f>
        <v>1182.588</v>
      </c>
      <c r="BG76" s="3">
        <f>Energy_Balance!F77</f>
        <v>0.30206190664994559</v>
      </c>
      <c r="BH76" s="3">
        <f>Track_Profile!F84</f>
        <v>2.8399999999999976</v>
      </c>
      <c r="BJ76" s="3">
        <f>Energy_Model!H77</f>
        <v>850.31907683571217</v>
      </c>
      <c r="BK76" s="3">
        <f t="shared" si="4"/>
        <v>2.8399999999999976</v>
      </c>
      <c r="BL76" s="3">
        <f>Track_Profile!H84</f>
        <v>22</v>
      </c>
    </row>
    <row r="77" spans="48:64">
      <c r="AV77" s="3">
        <f t="shared" si="5"/>
        <v>21</v>
      </c>
      <c r="AX77" s="3">
        <f t="shared" si="6"/>
        <v>2391.9377699558877</v>
      </c>
      <c r="BA77" s="5">
        <f>Energy_Balance!G78</f>
        <v>5161.7491288287465</v>
      </c>
      <c r="BB77" s="16">
        <f>Track_Profile!F85</f>
        <v>2.8499999999999974</v>
      </c>
      <c r="BE77" s="3">
        <f>Solar_Model!E77</f>
        <v>1182.588</v>
      </c>
      <c r="BG77" s="3">
        <f>Energy_Balance!F78</f>
        <v>-0.57587941149307331</v>
      </c>
      <c r="BH77" s="3">
        <f>Track_Profile!F85</f>
        <v>2.8499999999999974</v>
      </c>
      <c r="BJ77" s="3">
        <f>Energy_Model!H78</f>
        <v>2391.9377699558877</v>
      </c>
      <c r="BK77" s="3">
        <f t="shared" si="4"/>
        <v>2.8499999999999974</v>
      </c>
      <c r="BL77" s="3">
        <f>Track_Profile!H85</f>
        <v>21</v>
      </c>
    </row>
    <row r="78" spans="48:64">
      <c r="AV78" s="3">
        <f t="shared" si="5"/>
        <v>20</v>
      </c>
      <c r="AX78" s="3">
        <f t="shared" si="6"/>
        <v>1400.0180814822399</v>
      </c>
      <c r="BA78" s="5">
        <f>Energy_Balance!G79</f>
        <v>5161.6404140582154</v>
      </c>
      <c r="BB78" s="16">
        <f>Track_Profile!F86</f>
        <v>2.8599999999999972</v>
      </c>
      <c r="BE78" s="3">
        <f>Solar_Model!E78</f>
        <v>1182.588</v>
      </c>
      <c r="BG78" s="3">
        <f>Energy_Balance!F79</f>
        <v>-0.10871477053154199</v>
      </c>
      <c r="BH78" s="3">
        <f>Track_Profile!F86</f>
        <v>2.8599999999999972</v>
      </c>
      <c r="BJ78" s="3">
        <f>Energy_Model!H79</f>
        <v>1400.0180814822399</v>
      </c>
      <c r="BK78" s="3">
        <f t="shared" si="4"/>
        <v>2.8599999999999972</v>
      </c>
      <c r="BL78" s="3">
        <f>Track_Profile!H86</f>
        <v>20</v>
      </c>
    </row>
    <row r="79" spans="48:64">
      <c r="AV79" s="3">
        <f t="shared" si="5"/>
        <v>19</v>
      </c>
      <c r="AX79" s="3">
        <f t="shared" si="6"/>
        <v>499.71564269422396</v>
      </c>
      <c r="BA79" s="5">
        <f>Energy_Balance!G80</f>
        <v>5162.7186308898526</v>
      </c>
      <c r="BB79" s="16">
        <f>Track_Profile!F87</f>
        <v>2.889999999999997</v>
      </c>
      <c r="BE79" s="3">
        <f>Solar_Model!E79</f>
        <v>1182.588</v>
      </c>
      <c r="BG79" s="3">
        <f>Energy_Balance!F80</f>
        <v>1.078216831637262</v>
      </c>
      <c r="BH79" s="3">
        <f>Track_Profile!F87</f>
        <v>2.889999999999997</v>
      </c>
      <c r="BJ79" s="3">
        <f>Energy_Model!H80</f>
        <v>499.71564269422396</v>
      </c>
      <c r="BK79" s="3">
        <f t="shared" si="4"/>
        <v>2.889999999999997</v>
      </c>
      <c r="BL79" s="3">
        <f>Track_Profile!H87</f>
        <v>19</v>
      </c>
    </row>
    <row r="80" spans="48:64">
      <c r="AV80" s="3">
        <f t="shared" si="5"/>
        <v>20</v>
      </c>
      <c r="AX80" s="3">
        <f t="shared" si="6"/>
        <v>1002.1759492940798</v>
      </c>
      <c r="BA80" s="5">
        <f>Energy_Balance!G81</f>
        <v>5162.8088366909997</v>
      </c>
      <c r="BB80" s="16">
        <f>Track_Profile!F88</f>
        <v>2.8999999999999968</v>
      </c>
      <c r="BE80" s="3">
        <f>Solar_Model!E80</f>
        <v>1182.588</v>
      </c>
      <c r="BG80" s="3">
        <f>Energy_Balance!F81</f>
        <v>9.0205801147258069E-2</v>
      </c>
      <c r="BH80" s="3">
        <f>Track_Profile!F88</f>
        <v>2.8999999999999968</v>
      </c>
      <c r="BJ80" s="3">
        <f>Energy_Model!H81</f>
        <v>1002.1759492940798</v>
      </c>
      <c r="BK80" s="3">
        <f t="shared" si="4"/>
        <v>2.8999999999999968</v>
      </c>
      <c r="BL80" s="3">
        <f>Track_Profile!H88</f>
        <v>20</v>
      </c>
    </row>
    <row r="81" spans="48:64">
      <c r="AV81" s="3">
        <f t="shared" si="5"/>
        <v>22</v>
      </c>
      <c r="AX81" s="3">
        <f t="shared" si="6"/>
        <v>2163.1981130566401</v>
      </c>
      <c r="BA81" s="5">
        <f>Energy_Balance!G82</f>
        <v>5162.3631059292884</v>
      </c>
      <c r="BB81" s="16">
        <f>Track_Profile!F89</f>
        <v>2.9099999999999966</v>
      </c>
      <c r="BE81" s="3">
        <f>Solar_Model!E81</f>
        <v>1182.588</v>
      </c>
      <c r="BG81" s="3">
        <f>Energy_Balance!F82</f>
        <v>-0.44573076171142711</v>
      </c>
      <c r="BH81" s="3">
        <f>Track_Profile!F89</f>
        <v>2.9099999999999966</v>
      </c>
      <c r="BJ81" s="3">
        <f>Energy_Model!H82</f>
        <v>2163.1981130566401</v>
      </c>
      <c r="BK81" s="3">
        <f t="shared" si="4"/>
        <v>2.9099999999999966</v>
      </c>
      <c r="BL81" s="3">
        <f>Track_Profile!H89</f>
        <v>22</v>
      </c>
    </row>
    <row r="82" spans="48:64">
      <c r="AV82" s="3">
        <f t="shared" si="5"/>
        <v>23</v>
      </c>
      <c r="AX82" s="3">
        <f t="shared" si="6"/>
        <v>1450.409496494992</v>
      </c>
      <c r="BA82" s="5">
        <f>Energy_Balance!G83</f>
        <v>5162.2466620897976</v>
      </c>
      <c r="BB82" s="16">
        <f>Track_Profile!F90</f>
        <v>2.9199999999999964</v>
      </c>
      <c r="BE82" s="3">
        <f>Solar_Model!E82</f>
        <v>1182.588</v>
      </c>
      <c r="BG82" s="3">
        <f>Energy_Balance!F83</f>
        <v>-0.11644383949075732</v>
      </c>
      <c r="BH82" s="3">
        <f>Track_Profile!F90</f>
        <v>2.9199999999999964</v>
      </c>
      <c r="BJ82" s="3">
        <f>Energy_Model!H83</f>
        <v>1450.409496494992</v>
      </c>
      <c r="BK82" s="3">
        <f t="shared" si="4"/>
        <v>2.9199999999999964</v>
      </c>
      <c r="BL82" s="3">
        <f>Track_Profile!H90</f>
        <v>23</v>
      </c>
    </row>
    <row r="83" spans="48:64">
      <c r="AV83" s="3">
        <f t="shared" si="5"/>
        <v>24</v>
      </c>
      <c r="AX83" s="3">
        <f t="shared" si="6"/>
        <v>671.90860023091204</v>
      </c>
      <c r="BA83" s="5">
        <f>Energy_Balance!G84</f>
        <v>5162.4594446441661</v>
      </c>
      <c r="BB83" s="16">
        <f>Track_Profile!F91</f>
        <v>2.9299999999999962</v>
      </c>
      <c r="BE83" s="3">
        <f>Solar_Model!E83</f>
        <v>1182.588</v>
      </c>
      <c r="BG83" s="3">
        <f>Energy_Balance!F84</f>
        <v>0.21278255436800741</v>
      </c>
      <c r="BH83" s="3">
        <f>Track_Profile!F91</f>
        <v>2.9299999999999962</v>
      </c>
      <c r="BJ83" s="3">
        <f>Energy_Model!H84</f>
        <v>671.90860023091204</v>
      </c>
      <c r="BK83" s="3">
        <f t="shared" si="4"/>
        <v>2.9299999999999962</v>
      </c>
      <c r="BL83" s="3">
        <f>Track_Profile!H91</f>
        <v>24</v>
      </c>
    </row>
    <row r="84" spans="48:64">
      <c r="AV84" s="3">
        <f t="shared" si="5"/>
        <v>23</v>
      </c>
      <c r="AX84" s="3">
        <f t="shared" si="6"/>
        <v>1450.409496494992</v>
      </c>
      <c r="BA84" s="5">
        <f>Energy_Balance!G85</f>
        <v>5161.2950062492582</v>
      </c>
      <c r="BB84" s="16">
        <f>Track_Profile!F92</f>
        <v>3.0299999999999963</v>
      </c>
      <c r="BE84" s="3">
        <f>Solar_Model!E84</f>
        <v>1182.588</v>
      </c>
      <c r="BG84" s="3">
        <f>Energy_Balance!F85</f>
        <v>-1.1644383949075729</v>
      </c>
      <c r="BH84" s="3">
        <f>Track_Profile!F92</f>
        <v>3.0299999999999963</v>
      </c>
      <c r="BJ84" s="3">
        <f>Energy_Model!H85</f>
        <v>1450.409496494992</v>
      </c>
      <c r="BK84" s="3">
        <f t="shared" si="4"/>
        <v>3.0299999999999963</v>
      </c>
      <c r="BL84" s="3">
        <f>Track_Profile!H92</f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Inputs Fijos</vt:lpstr>
      <vt:lpstr>Inputs Variables</vt:lpstr>
      <vt:lpstr>Track_Profile</vt:lpstr>
      <vt:lpstr>Energy_Model</vt:lpstr>
      <vt:lpstr>Sheet2</vt:lpstr>
      <vt:lpstr>Solar_Model</vt:lpstr>
      <vt:lpstr>Energy_Balance</vt:lpstr>
      <vt:lpstr>Dashboard</vt:lpstr>
      <vt:lpstr>_Cd</vt:lpstr>
      <vt:lpstr>Cd</vt:lpstr>
      <vt:lpstr>CdA</vt:lpstr>
      <vt:lpstr>Crr</vt:lpstr>
      <vt:lpstr>eficiencia_drivetrain</vt:lpstr>
      <vt:lpstr>g</vt:lpstr>
      <vt:lpstr>m</vt:lpstr>
      <vt:lpstr>rho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ALANIS M RIOS SANTIAGO</dc:creator>
  <cp:lastModifiedBy>DANIEL E REYES-NEGRON</cp:lastModifiedBy>
  <dcterms:created xsi:type="dcterms:W3CDTF">2026-03-01T15:12:35Z</dcterms:created>
  <dcterms:modified xsi:type="dcterms:W3CDTF">2026-06-03T21:10:44Z</dcterms:modified>
</cp:coreProperties>
</file>